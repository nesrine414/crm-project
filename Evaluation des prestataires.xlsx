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 Prestataires " sheetId="1" r:id="rId5"/>
    <sheet state="visible" name="Critère de sélection et évaluat" sheetId="2" r:id="rId6"/>
    <sheet state="visible" name="Evaluation 2024" sheetId="3" r:id="rId7"/>
    <sheet state="visible" name="Evaluation 2025" sheetId="4" r:id="rId8"/>
    <sheet state="visible" name="Evaluation 2026" sheetId="5" r:id="rId9"/>
    <sheet state="visible" name="Copie de Liste de Prestataires " sheetId="6" r:id="rId10"/>
  </sheets>
  <definedNames/>
  <calcPr/>
</workbook>
</file>

<file path=xl/sharedStrings.xml><?xml version="1.0" encoding="utf-8"?>
<sst xmlns="http://schemas.openxmlformats.org/spreadsheetml/2006/main" count="533" uniqueCount="140">
  <si>
    <t>Support / formulaire d’enregistrement</t>
  </si>
  <si>
    <t>Réf : ENR-GFS-08</t>
  </si>
  <si>
    <t>Evaluation des prestataires</t>
  </si>
  <si>
    <t xml:space="preserve">Version :     00
</t>
  </si>
  <si>
    <t xml:space="preserve">Edition : 21/02/2026
</t>
  </si>
  <si>
    <r>
      <rPr>
        <rFont val="Arial"/>
        <b/>
        <color theme="1"/>
        <sz val="11.0"/>
      </rPr>
      <t xml:space="preserve">Évaluation et suivi des prestataires :
- Formateurs et consultants (sociétés ou personnes physiques) : </t>
    </r>
    <r>
      <rPr>
        <rFont val="Arial"/>
        <color theme="1"/>
        <sz val="11.0"/>
      </rPr>
      <t>Soumis à une évaluation systématique.
-</t>
    </r>
    <r>
      <rPr>
        <rFont val="Arial"/>
        <b/>
        <color theme="1"/>
        <sz val="11.0"/>
      </rPr>
      <t xml:space="preserve"> Autres prestataires (fournisseurs divers) :</t>
    </r>
    <r>
      <rPr>
        <rFont val="Arial"/>
        <color theme="1"/>
        <sz val="11.0"/>
      </rPr>
      <t xml:space="preserve"> Évalués à l'issue de la première collaboration. Leur reconduction (fidélisation) dépend des besoins de LCA et de la qualité de service constatée lors des prestations précédentes.
-</t>
    </r>
    <r>
      <rPr>
        <rFont val="Arial"/>
        <b/>
        <color theme="1"/>
        <sz val="11.0"/>
      </rPr>
      <t xml:space="preserve"> Critère de selection : </t>
    </r>
    <r>
      <rPr>
        <rFont val="Arial"/>
        <color theme="1"/>
        <sz val="11.0"/>
      </rPr>
      <t xml:space="preserve">Prix, qualité, prestation de services et respect des délais.
</t>
    </r>
    <r>
      <rPr>
        <rFont val="Arial"/>
        <b/>
        <color theme="1"/>
        <sz val="11.0"/>
      </rPr>
      <t>Pour les consultants et les formateurs :
Critère de selection</t>
    </r>
    <r>
      <rPr>
        <rFont val="Arial"/>
        <color theme="1"/>
        <sz val="11.0"/>
      </rPr>
      <t xml:space="preserve"> : Honoraire, Recommandation client, Disponibilité, Approximité, Qualification et compétences.</t>
    </r>
  </si>
  <si>
    <t>Réf : ENR-GFS-03</t>
  </si>
  <si>
    <t>Grille de sélection et d'évaluation des prestataires externes</t>
  </si>
  <si>
    <t>Régle de Notation</t>
  </si>
  <si>
    <t xml:space="preserve">Edition : 10/06/2026
</t>
  </si>
  <si>
    <t>Note sur 4</t>
  </si>
  <si>
    <t>Score (%)</t>
  </si>
  <si>
    <t>Décision</t>
  </si>
  <si>
    <t>Très satisfaisant</t>
  </si>
  <si>
    <t>&gt; 80%</t>
  </si>
  <si>
    <t>Nom du Prestataire</t>
  </si>
  <si>
    <t xml:space="preserve">Maintenir le fournisseur et le priviliger </t>
  </si>
  <si>
    <t>satisfaisant</t>
  </si>
  <si>
    <t>ID</t>
  </si>
  <si>
    <t>Entre 60% et 80%</t>
  </si>
  <si>
    <t>Maintenir le fournisseur</t>
  </si>
  <si>
    <t>Patente</t>
  </si>
  <si>
    <t>Moyen</t>
  </si>
  <si>
    <t>Domaine / Service</t>
  </si>
  <si>
    <t>Entre 40% et 50%</t>
  </si>
  <si>
    <t>Interlocuteur Principal</t>
  </si>
  <si>
    <t>Maintenir le fournisseur sous surveillance</t>
  </si>
  <si>
    <t>Fonction</t>
  </si>
  <si>
    <t>Insatisfaisant</t>
  </si>
  <si>
    <t>E-mail / Téléphone</t>
  </si>
  <si>
    <t>&lt;30%</t>
  </si>
  <si>
    <t>Prix</t>
  </si>
  <si>
    <t>fournisseurs douteux</t>
  </si>
  <si>
    <t>CV Malek (CNFCPP)</t>
  </si>
  <si>
    <t>Qualité</t>
  </si>
  <si>
    <t>Prestation de service</t>
  </si>
  <si>
    <t>Convention ou contrat</t>
  </si>
  <si>
    <t>Respect des délais</t>
  </si>
  <si>
    <t>Date Début Contrat</t>
  </si>
  <si>
    <t>Score</t>
  </si>
  <si>
    <t>Date Fin Contrat</t>
  </si>
  <si>
    <t>Notes</t>
  </si>
  <si>
    <t>Africain Job</t>
  </si>
  <si>
    <t>oui</t>
  </si>
  <si>
    <t>Recrutement</t>
  </si>
  <si>
    <t>Fatma khelifi</t>
  </si>
  <si>
    <t>Consultant</t>
  </si>
  <si>
    <t>africainjobs23@gmail.com</t>
  </si>
  <si>
    <t>Excellent partenaire de recrutement ; modèle économique très avantageux basé uniquement sur le succès, sans frais de recherche initiaux.</t>
  </si>
  <si>
    <t>Cabinet Inoubli</t>
  </si>
  <si>
    <t>Be Pro</t>
  </si>
  <si>
    <t>Comptable</t>
  </si>
  <si>
    <t>Souad Inoubli</t>
  </si>
  <si>
    <t>Formation</t>
  </si>
  <si>
    <t>cabinetlinoublicfc@gmail.com</t>
  </si>
  <si>
    <t>Meher ben Mefteh</t>
  </si>
  <si>
    <t xml:space="preserve">Formateur </t>
  </si>
  <si>
    <t>maher.ben.meftah@gmail.com</t>
  </si>
  <si>
    <t>On a eu quelques soucis par rapport le changement du statut de la société + des amendes de la part de la CNSS et des impots</t>
  </si>
  <si>
    <t>ABBK</t>
  </si>
  <si>
    <t>Anouar Daoud</t>
  </si>
  <si>
    <t>Commercial</t>
  </si>
  <si>
    <t>anouar@abbk-tn.com</t>
  </si>
  <si>
    <t>Formation solidworks excélente avec Bulgin</t>
  </si>
  <si>
    <t>Maxima Consulting</t>
  </si>
  <si>
    <t>Henia Jaouani</t>
  </si>
  <si>
    <t>Meher ben mefteh</t>
  </si>
  <si>
    <t>Jaouani.henia@gmail.com</t>
  </si>
  <si>
    <t>Formateur</t>
  </si>
  <si>
    <t>Des sessions de formation réussites avec Saida</t>
  </si>
  <si>
    <t>Genis Consulting</t>
  </si>
  <si>
    <t>non</t>
  </si>
  <si>
    <t>Cherif Ellouzi</t>
  </si>
  <si>
    <t>cherif.ellouzi@gmail.com</t>
  </si>
  <si>
    <t>Formation softskills avec bulgin beaucoup de lecture lors de la formation</t>
  </si>
  <si>
    <t>Adel Cherni (Centre Borj Cedria)</t>
  </si>
  <si>
    <t>Il a excélé avec Saida</t>
  </si>
  <si>
    <t>KK Consulting</t>
  </si>
  <si>
    <t>Adel Cherni</t>
  </si>
  <si>
    <t>Consulting</t>
  </si>
  <si>
    <t>Ali Khalil</t>
  </si>
  <si>
    <t>adel.cherni@takwin.atfp.tn</t>
  </si>
  <si>
    <t>Consultant / Formateur</t>
  </si>
  <si>
    <t>elkhalilali33@gmail.com</t>
  </si>
  <si>
    <t>Réaliastion d'un audit interne chez tecnusi</t>
  </si>
  <si>
    <t xml:space="preserve">Marwa Tlili </t>
  </si>
  <si>
    <t>Retour excelent de Bulgin suite à la formation de Solidworks</t>
  </si>
  <si>
    <t>Anour Copy</t>
  </si>
  <si>
    <t>marwatlili26@hotmail.fr</t>
  </si>
  <si>
    <t>Fourniture bureautique</t>
  </si>
  <si>
    <t>Omar Baili</t>
  </si>
  <si>
    <t>Fournisseur</t>
  </si>
  <si>
    <t>-</t>
  </si>
  <si>
    <t>Elle a eu un bon retour mais elle n'a pas fini son programme chez Bulgin</t>
  </si>
  <si>
    <t>Haifa Jarray</t>
  </si>
  <si>
    <t>Mohamed Messoudi</t>
  </si>
  <si>
    <t>jarrayhaifa@gmail.com</t>
  </si>
  <si>
    <t>Prestataire fiable pour les travaux d'impression et de reprographie ; délais généralement respectés.</t>
  </si>
  <si>
    <t>Société Traitement général des eaux</t>
  </si>
  <si>
    <t>Un très bon retour de la part de Bulgin</t>
  </si>
  <si>
    <t xml:space="preserve">Fourniture </t>
  </si>
  <si>
    <t>stge@planet.tn</t>
  </si>
  <si>
    <t>Suivi technique rigoureux et interventions conformes aux standards de maintenance des installations.</t>
  </si>
  <si>
    <t>Allié RH</t>
  </si>
  <si>
    <t>Sarra Amri</t>
  </si>
  <si>
    <t>allierh.tn@gmail.com</t>
  </si>
  <si>
    <t>KBI Consulting</t>
  </si>
  <si>
    <t>Kamel El Arbi</t>
  </si>
  <si>
    <t>kbiconsulting@topnet.tn</t>
  </si>
  <si>
    <t xml:space="preserve">STE Faouzi Chihaoui Bois </t>
  </si>
  <si>
    <t>Fourniture</t>
  </si>
  <si>
    <t>Faouzi Chihaoui</t>
  </si>
  <si>
    <t>B Expert Automotive Industry</t>
  </si>
  <si>
    <t>Nedra Debbech</t>
  </si>
  <si>
    <t>nedra.debbech@outlook.com</t>
  </si>
  <si>
    <t>Librairie Arij</t>
  </si>
  <si>
    <t>maktabatarij@gmail.com</t>
  </si>
  <si>
    <t>SW super wood</t>
  </si>
  <si>
    <t>STE bois et materiaux</t>
  </si>
  <si>
    <t>Évaluation / Notes</t>
  </si>
  <si>
    <t>Pluxee</t>
  </si>
  <si>
    <t>Amine Karoui</t>
  </si>
  <si>
    <t>Customer Support</t>
  </si>
  <si>
    <t>mohamed.amine.karoui@pluxeegroup.com</t>
  </si>
  <si>
    <t>Haifa Design</t>
  </si>
  <si>
    <t>Société Quincailleire Mzoughi</t>
  </si>
  <si>
    <t>Formateurs de grande qualité ; une valeur sûre vers laquelle nous nous tournons systématiquement en toute confiance.</t>
  </si>
  <si>
    <t>contacts.q.m@gmail.com</t>
  </si>
  <si>
    <t>Très bon partenaire offrant un excellent rapport qualité-prix ; à solliciter régulièrement.</t>
  </si>
  <si>
    <t>arwatlili26@hotmail.fr</t>
  </si>
  <si>
    <t>Partenaire de confiance très compétitif ; excellent positionnement en termes de rapport qualité-prix.</t>
  </si>
  <si>
    <t>Prestations moyennes ; à contacter en second choix ou en cas d'absence d'alternative sur le marché / exigences clients</t>
  </si>
  <si>
    <t>Formateurs de premier ordre et excellente expertise, mais les tarifs restent très élevés.</t>
  </si>
  <si>
    <t>Prestations de formation haut de gamme ; les retours clients sont parfaits et la qualité est irréprochable.</t>
  </si>
  <si>
    <t>Rapport qualité prix raisonnable</t>
  </si>
  <si>
    <t>Excellente qualité d'intervention technique, mais positionnement tarifaire très haut. À réserver aux projets clés.</t>
  </si>
  <si>
    <t>Fournisseur régulier d'articles de bureau et de papeterie ; large choix et réactivité satisfaisante.</t>
  </si>
  <si>
    <t>Service de gestion des avantages aux salariés efficace ; gestion administrative fluide et conforme.</t>
  </si>
  <si>
    <t>Prestations d'aménagement ou de supports visuels de bonne facture ; design moderne et soigné.</t>
  </si>
  <si>
    <t>Fournisseur de proximité réactif pour l'outillage et le matériel de maintenance courante.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</si>
</sst>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0.0"/>
      <color rgb="FF000000"/>
      <name val="Arial"/>
      <scheme val="minor"/>
    </font>
    <font>
      <sz val="11.0"/>
      <color theme="1"/>
      <name val="Calibri"/>
    </font>
    <font/>
    <font>
      <b/>
      <sz val="12.0"/>
      <color theme="1"/>
      <name val="Times New Roman"/>
    </font>
    <font>
      <b/>
      <sz val="11.0"/>
      <color theme="1"/>
      <name val="Times New Roman"/>
    </font>
    <font>
      <b/>
      <sz val="18.0"/>
      <color theme="1"/>
      <name val="Times New Roman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Times New Roman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F4C7C3"/>
        <bgColor rgb="FFF4C7C3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1" fillId="0" fontId="5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6" numFmtId="0" xfId="0" applyAlignment="1" applyFont="1">
      <alignment readingOrder="0" shrinkToFit="0" vertical="center" wrapText="1"/>
    </xf>
    <xf borderId="12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/>
    </xf>
    <xf borderId="4" fillId="0" fontId="6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12" fillId="0" fontId="4" numFmtId="0" xfId="0" applyAlignment="1" applyBorder="1" applyFont="1">
      <alignment horizontal="center" vertical="bottom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center"/>
    </xf>
    <xf borderId="12" fillId="2" fontId="10" numFmtId="0" xfId="0" applyAlignment="1" applyBorder="1" applyFill="1" applyFont="1">
      <alignment horizontal="center" shrinkToFit="0" vertical="bottom" wrapText="1"/>
    </xf>
    <xf borderId="12" fillId="2" fontId="10" numFmtId="0" xfId="0" applyAlignment="1" applyBorder="1" applyFont="1">
      <alignment horizontal="center" readingOrder="0" shrinkToFit="0" vertical="bottom" wrapText="1"/>
    </xf>
    <xf borderId="12" fillId="3" fontId="11" numFmtId="0" xfId="0" applyAlignment="1" applyBorder="1" applyFill="1" applyFont="1">
      <alignment horizontal="center" readingOrder="0" shrinkToFit="0" vertical="center" wrapText="1"/>
    </xf>
    <xf borderId="12" fillId="4" fontId="11" numFmtId="0" xfId="0" applyAlignment="1" applyBorder="1" applyFill="1" applyFont="1">
      <alignment horizontal="center" readingOrder="0" shrinkToFit="0" vertical="center" wrapText="1"/>
    </xf>
    <xf borderId="12" fillId="2" fontId="11" numFmtId="0" xfId="0" applyAlignment="1" applyBorder="1" applyFont="1">
      <alignment horizontal="center" readingOrder="0" shrinkToFit="0" vertical="center" wrapText="1"/>
    </xf>
    <xf borderId="12" fillId="5" fontId="11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0"/>
    </xf>
    <xf borderId="12" fillId="5" fontId="11" numFmtId="9" xfId="0" applyAlignment="1" applyBorder="1" applyFont="1" applyNumberForma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12" fillId="6" fontId="11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2" fillId="6" fontId="11" numFmtId="0" xfId="0" applyAlignment="1" applyBorder="1" applyFont="1">
      <alignment horizontal="center" shrinkToFit="0" vertical="center" wrapText="1"/>
    </xf>
    <xf borderId="12" fillId="7" fontId="11" numFmtId="0" xfId="0" applyAlignment="1" applyBorder="1" applyFill="1" applyFont="1">
      <alignment horizontal="center" readingOrder="0" shrinkToFit="0" vertical="center" wrapText="1"/>
    </xf>
    <xf borderId="12" fillId="7" fontId="11" numFmtId="9" xfId="0" applyAlignment="1" applyBorder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readingOrder="0" shrinkToFit="0" wrapText="1"/>
    </xf>
    <xf borderId="12" fillId="0" fontId="7" numFmtId="0" xfId="0" applyAlignment="1" applyBorder="1" applyFont="1">
      <alignment horizontal="center" readingOrder="0" shrinkToFit="0" vertical="center" wrapText="0"/>
    </xf>
    <xf borderId="12" fillId="0" fontId="7" numFmtId="49" xfId="0" applyAlignment="1" applyBorder="1" applyFont="1" applyNumberFormat="1">
      <alignment horizontal="left" readingOrder="0" shrinkToFit="0" vertical="center" wrapText="1"/>
    </xf>
    <xf borderId="0" fillId="0" fontId="1" numFmtId="0" xfId="0" applyFont="1"/>
    <xf borderId="12" fillId="0" fontId="7" numFmtId="49" xfId="0" applyAlignment="1" applyBorder="1" applyFont="1" applyNumberFormat="1">
      <alignment horizontal="center" readingOrder="0" shrinkToFit="0" vertical="center" wrapText="0"/>
    </xf>
    <xf borderId="12" fillId="0" fontId="7" numFmtId="0" xfId="0" applyAlignment="1" applyBorder="1" applyFont="1">
      <alignment readingOrder="0" shrinkToFit="0" vertical="center" wrapText="0"/>
    </xf>
    <xf borderId="12" fillId="0" fontId="7" numFmtId="0" xfId="0" applyAlignment="1" applyBorder="1" applyFont="1">
      <alignment shrinkToFit="0" vertical="center" wrapText="0"/>
    </xf>
    <xf borderId="12" fillId="0" fontId="7" numFmtId="164" xfId="0" applyAlignment="1" applyBorder="1" applyFont="1" applyNumberFormat="1">
      <alignment readingOrder="0" shrinkToFit="0" vertical="center" wrapText="0"/>
    </xf>
    <xf borderId="12" fillId="0" fontId="12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readingOrder="0" shrinkToFit="0" vertical="center" wrapText="0"/>
    </xf>
    <xf borderId="12" fillId="0" fontId="7" numFmtId="165" xfId="0" applyAlignment="1" applyBorder="1" applyFont="1" applyNumberFormat="1">
      <alignment readingOrder="0" shrinkToFit="0" vertical="center" wrapText="0"/>
    </xf>
    <xf borderId="12" fillId="0" fontId="7" numFmtId="0" xfId="0" applyAlignment="1" applyBorder="1" applyFont="1">
      <alignment readingOrder="0" shrinkToFit="0" vertical="center" wrapText="0"/>
    </xf>
    <xf borderId="12" fillId="0" fontId="7" numFmtId="0" xfId="0" applyAlignment="1" applyBorder="1" applyFont="1">
      <alignment shrinkToFit="0" vertical="center" wrapText="0"/>
    </xf>
    <xf borderId="12" fillId="0" fontId="7" numFmtId="0" xfId="0" applyAlignment="1" applyBorder="1" applyFont="1">
      <alignment horizontal="left" readingOrder="0" shrinkToFit="0" vertical="center" wrapText="0"/>
    </xf>
    <xf borderId="12" fillId="0" fontId="1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A0EA"/>
          <bgColor rgb="FF62A0E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A0EA"/>
        </left>
        <right style="thin">
          <color rgb="FF62A0EA"/>
        </right>
        <top style="thin">
          <color rgb="FF62A0EA"/>
        </top>
        <bottom style="thin">
          <color rgb="FF62A0EA"/>
        </bottom>
      </border>
    </dxf>
  </dxfs>
  <tableStyles count="5">
    <tableStyle count="4" pivot="0" name="Liste de Prestatair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tion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tion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tion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e de Liste de Prestatair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K28" displayName="PRESTATAIRS" name="PRESTATAIRS" id="1">
  <tableColumns count="11">
    <tableColumn name="ID" id="1"/>
    <tableColumn name="Nom du Prestataire" id="2"/>
    <tableColumn name="Patente" id="3"/>
    <tableColumn name="Domaine / Service" id="4"/>
    <tableColumn name="Interlocuteur Principal" id="5"/>
    <tableColumn name="Fonction" id="6"/>
    <tableColumn name="E-mail / Téléphone" id="7"/>
    <tableColumn name="CV Malek (CNFCPP)" id="8"/>
    <tableColumn name="Convention ou contrat" id="9"/>
    <tableColumn name="Date Début Contrat" id="10"/>
    <tableColumn name="Date Fin Contrat" id="11"/>
  </tableColumns>
  <tableStyleInfo name="Liste de Prestataires -style" showColumnStripes="0" showFirstColumn="1" showLastColumn="1" showRowStripes="1"/>
</table>
</file>

<file path=xl/tables/table2.xml><?xml version="1.0" encoding="utf-8"?>
<table xmlns="http://schemas.openxmlformats.org/spreadsheetml/2006/main" ref="A9:L15" displayName="Tableau1" name="Tableau1" id="2">
  <tableColumns count="12">
    <tableColumn name="Nom du Prestataire" id="1"/>
    <tableColumn name="Patente" id="2"/>
    <tableColumn name="Domaine / Service" id="3"/>
    <tableColumn name="Interlocuteur Principal" id="4"/>
    <tableColumn name="Fonction" id="5"/>
    <tableColumn name="E-mail / Téléphone" id="6"/>
    <tableColumn name="Prix" id="7"/>
    <tableColumn name="Qualité" id="8"/>
    <tableColumn name="Prestation de service" id="9"/>
    <tableColumn name="Respect des délais" id="10"/>
    <tableColumn name="Score" id="11"/>
    <tableColumn name="Notes" id="12"/>
  </tableColumns>
  <tableStyleInfo name="Evaluation 2024-style" showColumnStripes="0" showFirstColumn="1" showLastColumn="1" showRowStripes="1"/>
</table>
</file>

<file path=xl/tables/table3.xml><?xml version="1.0" encoding="utf-8"?>
<table xmlns="http://schemas.openxmlformats.org/spreadsheetml/2006/main" ref="A6:L14" displayName="Tableau2" name="Tableau2" id="3">
  <tableColumns count="12">
    <tableColumn name="Nom du Prestataire" id="1"/>
    <tableColumn name="Patente" id="2"/>
    <tableColumn name="Domaine / Service" id="3"/>
    <tableColumn name="Interlocuteur Principal" id="4"/>
    <tableColumn name="Fonction" id="5"/>
    <tableColumn name="E-mail / Téléphone" id="6"/>
    <tableColumn name="Prix" id="7"/>
    <tableColumn name="Qualité" id="8"/>
    <tableColumn name="Prestation de service" id="9"/>
    <tableColumn name="Respect des délais" id="10"/>
    <tableColumn name="Score" id="11"/>
    <tableColumn name="Notes" id="12"/>
  </tableColumns>
  <tableStyleInfo name="Evaluation 2025-style" showColumnStripes="0" showFirstColumn="1" showLastColumn="1" showRowStripes="1"/>
</table>
</file>

<file path=xl/tables/table4.xml><?xml version="1.0" encoding="utf-8"?>
<table xmlns="http://schemas.openxmlformats.org/spreadsheetml/2006/main" ref="A6:L16" displayName="Tableau3" name="Tableau3" id="4">
  <tableColumns count="12">
    <tableColumn name="Nom du Prestataire" id="1"/>
    <tableColumn name="Patente" id="2"/>
    <tableColumn name="Domaine / Service" id="3"/>
    <tableColumn name="Interlocuteur Principal" id="4"/>
    <tableColumn name="Fonction" id="5"/>
    <tableColumn name="E-mail / Téléphone" id="6"/>
    <tableColumn name="Prix" id="7"/>
    <tableColumn name="Qualité" id="8"/>
    <tableColumn name="Prestation de service" id="9"/>
    <tableColumn name="Respect des délais" id="10"/>
    <tableColumn name="Score" id="11"/>
    <tableColumn name="Notes" id="12"/>
  </tableColumns>
  <tableStyleInfo name="Evaluation 2026-style" showColumnStripes="0" showFirstColumn="1" showLastColumn="1" showRowStripes="1"/>
</table>
</file>

<file path=xl/tables/table5.xml><?xml version="1.0" encoding="utf-8"?>
<table xmlns="http://schemas.openxmlformats.org/spreadsheetml/2006/main" ref="A9:K30" displayName="PRESTATAIRS_2" name="PRESTATAIRS_2" id="5">
  <tableColumns count="11">
    <tableColumn name="ID" id="1"/>
    <tableColumn name="Nom du Prestataire" id="2"/>
    <tableColumn name="Patente" id="3"/>
    <tableColumn name="Domaine / Service" id="4"/>
    <tableColumn name="Interlocuteur Principal" id="5"/>
    <tableColumn name="Fonction" id="6"/>
    <tableColumn name="E-mail / Téléphone" id="7"/>
    <tableColumn name="Convention ou contrat" id="8"/>
    <tableColumn name="Date Début Contrat" id="9"/>
    <tableColumn name="Date Fin Contrat" id="10"/>
    <tableColumn name="Évaluation / Notes" id="11"/>
  </tableColumns>
  <tableStyleInfo name="Copie de Liste de Prestatair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25"/>
    <col customWidth="1" min="2" max="2" width="22.75"/>
    <col customWidth="1" min="3" max="3" width="10.13"/>
    <col customWidth="1" min="4" max="4" width="19.0"/>
    <col customWidth="1" min="5" max="5" width="16.75"/>
    <col customWidth="1" min="6" max="6" width="19.5"/>
    <col customWidth="1" min="7" max="7" width="25.5"/>
    <col customWidth="1" min="8" max="9" width="18.5"/>
    <col customWidth="1" min="10" max="10" width="19.63"/>
    <col customWidth="1" min="11" max="11" width="17.5"/>
  </cols>
  <sheetData>
    <row r="1" ht="19.5" customHeight="1">
      <c r="A1" s="2"/>
      <c r="B1" s="3"/>
      <c r="C1" s="4"/>
      <c r="D1" s="5" t="s">
        <v>0</v>
      </c>
      <c r="E1" s="6"/>
      <c r="F1" s="6"/>
      <c r="G1" s="7"/>
      <c r="H1" s="16"/>
      <c r="I1" s="19" t="s">
        <v>6</v>
      </c>
      <c r="J1" s="7"/>
      <c r="L1" s="20"/>
      <c r="M1" s="20"/>
      <c r="N1" s="20"/>
    </row>
    <row r="2" ht="19.5" customHeight="1">
      <c r="A2" s="9"/>
      <c r="C2" s="10"/>
      <c r="D2" s="11" t="s">
        <v>2</v>
      </c>
      <c r="E2" s="3"/>
      <c r="F2" s="3"/>
      <c r="G2" s="4"/>
      <c r="H2" s="23"/>
      <c r="I2" s="8" t="s">
        <v>3</v>
      </c>
      <c r="J2" s="7"/>
      <c r="L2" s="26"/>
      <c r="M2" s="26"/>
      <c r="N2" s="26"/>
    </row>
    <row r="3" ht="19.5" customHeight="1">
      <c r="A3" s="12"/>
      <c r="B3" s="13"/>
      <c r="C3" s="14"/>
      <c r="D3" s="12"/>
      <c r="E3" s="13"/>
      <c r="F3" s="13"/>
      <c r="G3" s="14"/>
      <c r="H3" s="16"/>
      <c r="I3" s="19" t="s">
        <v>9</v>
      </c>
      <c r="J3" s="7"/>
      <c r="L3" s="26"/>
      <c r="M3" s="26"/>
      <c r="N3" s="26"/>
    </row>
    <row r="4">
      <c r="A4" s="17"/>
      <c r="B4" s="17"/>
      <c r="C4" s="17"/>
      <c r="D4" s="17"/>
      <c r="E4" s="24"/>
      <c r="F4" s="24"/>
      <c r="G4" s="17"/>
      <c r="H4" s="24"/>
      <c r="I4" s="24"/>
      <c r="J4" s="17"/>
      <c r="K4" s="17"/>
    </row>
    <row r="5">
      <c r="A5" s="17"/>
      <c r="B5" s="17"/>
      <c r="C5" s="17"/>
      <c r="D5" s="17"/>
      <c r="E5" s="24"/>
      <c r="F5" s="24"/>
      <c r="G5" s="17"/>
      <c r="H5" s="24"/>
      <c r="I5" s="24"/>
      <c r="J5" s="17"/>
      <c r="K5" s="17"/>
    </row>
    <row r="6" ht="22.5" customHeight="1">
      <c r="A6" s="33" t="s">
        <v>18</v>
      </c>
      <c r="B6" s="33" t="s">
        <v>15</v>
      </c>
      <c r="C6" s="33" t="s">
        <v>21</v>
      </c>
      <c r="D6" s="33" t="s">
        <v>23</v>
      </c>
      <c r="E6" s="37" t="s">
        <v>25</v>
      </c>
      <c r="F6" s="37" t="s">
        <v>27</v>
      </c>
      <c r="G6" s="33" t="s">
        <v>29</v>
      </c>
      <c r="H6" s="44" t="s">
        <v>33</v>
      </c>
      <c r="I6" s="37" t="s">
        <v>36</v>
      </c>
      <c r="J6" s="33" t="s">
        <v>38</v>
      </c>
      <c r="K6" s="33" t="s">
        <v>40</v>
      </c>
    </row>
    <row r="7" ht="22.5" customHeight="1">
      <c r="A7" s="48"/>
      <c r="B7" s="47" t="s">
        <v>42</v>
      </c>
      <c r="C7" s="47" t="s">
        <v>43</v>
      </c>
      <c r="D7" s="47" t="s">
        <v>44</v>
      </c>
      <c r="E7" s="47" t="s">
        <v>45</v>
      </c>
      <c r="F7" s="47" t="s">
        <v>46</v>
      </c>
      <c r="G7" s="47" t="s">
        <v>47</v>
      </c>
      <c r="H7" s="47"/>
      <c r="I7" s="47" t="s">
        <v>43</v>
      </c>
      <c r="J7" s="49"/>
      <c r="K7" s="49"/>
    </row>
    <row r="8" ht="22.5" customHeight="1">
      <c r="A8" s="48"/>
      <c r="B8" s="47" t="s">
        <v>50</v>
      </c>
      <c r="C8" s="47" t="s">
        <v>43</v>
      </c>
      <c r="D8" s="47" t="s">
        <v>53</v>
      </c>
      <c r="E8" s="47" t="s">
        <v>55</v>
      </c>
      <c r="F8" s="47" t="s">
        <v>56</v>
      </c>
      <c r="G8" s="47" t="s">
        <v>57</v>
      </c>
      <c r="H8" s="47"/>
      <c r="I8" s="47" t="s">
        <v>43</v>
      </c>
      <c r="J8" s="49"/>
      <c r="K8" s="49"/>
    </row>
    <row r="9" ht="22.5" customHeight="1">
      <c r="A9" s="48"/>
      <c r="B9" s="47" t="s">
        <v>49</v>
      </c>
      <c r="C9" s="47" t="s">
        <v>43</v>
      </c>
      <c r="D9" s="47" t="s">
        <v>51</v>
      </c>
      <c r="E9" s="47" t="s">
        <v>52</v>
      </c>
      <c r="F9" s="47" t="s">
        <v>51</v>
      </c>
      <c r="G9" s="47" t="s">
        <v>54</v>
      </c>
      <c r="H9" s="47"/>
      <c r="I9" s="47" t="s">
        <v>43</v>
      </c>
      <c r="J9" s="49"/>
      <c r="K9" s="49"/>
    </row>
    <row r="10" ht="22.5" customHeight="1">
      <c r="A10" s="48"/>
      <c r="B10" s="47" t="s">
        <v>59</v>
      </c>
      <c r="C10" s="47" t="s">
        <v>43</v>
      </c>
      <c r="D10" s="47" t="s">
        <v>53</v>
      </c>
      <c r="E10" s="47" t="s">
        <v>60</v>
      </c>
      <c r="F10" s="47" t="s">
        <v>61</v>
      </c>
      <c r="G10" s="47" t="s">
        <v>62</v>
      </c>
      <c r="H10" s="47"/>
      <c r="I10" s="47" t="s">
        <v>71</v>
      </c>
      <c r="J10" s="49"/>
      <c r="K10" s="49"/>
    </row>
    <row r="11" ht="22.5" customHeight="1">
      <c r="A11" s="48"/>
      <c r="B11" s="47" t="s">
        <v>64</v>
      </c>
      <c r="C11" s="47" t="s">
        <v>43</v>
      </c>
      <c r="D11" s="47" t="s">
        <v>53</v>
      </c>
      <c r="E11" s="47" t="s">
        <v>65</v>
      </c>
      <c r="F11" s="47" t="s">
        <v>56</v>
      </c>
      <c r="G11" s="47" t="s">
        <v>67</v>
      </c>
      <c r="H11" s="47"/>
      <c r="I11" s="47" t="s">
        <v>71</v>
      </c>
      <c r="J11" s="49"/>
      <c r="K11" s="49"/>
    </row>
    <row r="12" ht="22.5" customHeight="1">
      <c r="A12" s="48"/>
      <c r="B12" s="47" t="s">
        <v>70</v>
      </c>
      <c r="C12" s="47" t="s">
        <v>43</v>
      </c>
      <c r="D12" s="47" t="s">
        <v>53</v>
      </c>
      <c r="E12" s="47" t="s">
        <v>72</v>
      </c>
      <c r="F12" s="47" t="s">
        <v>56</v>
      </c>
      <c r="G12" s="47" t="s">
        <v>73</v>
      </c>
      <c r="H12" s="47"/>
      <c r="I12" s="47" t="s">
        <v>71</v>
      </c>
      <c r="J12" s="49"/>
      <c r="K12" s="53"/>
    </row>
    <row r="13" ht="22.5" customHeight="1">
      <c r="A13" s="48"/>
      <c r="B13" s="47" t="s">
        <v>77</v>
      </c>
      <c r="C13" s="47" t="s">
        <v>43</v>
      </c>
      <c r="D13" s="47" t="s">
        <v>79</v>
      </c>
      <c r="E13" s="47" t="s">
        <v>80</v>
      </c>
      <c r="F13" s="47" t="s">
        <v>82</v>
      </c>
      <c r="G13" s="47" t="s">
        <v>83</v>
      </c>
      <c r="H13" s="47"/>
      <c r="I13" s="47" t="s">
        <v>71</v>
      </c>
      <c r="J13" s="48"/>
      <c r="K13" s="48"/>
    </row>
    <row r="14" ht="22.5" customHeight="1">
      <c r="A14" s="48"/>
      <c r="B14" s="47" t="s">
        <v>87</v>
      </c>
      <c r="C14" s="47" t="s">
        <v>43</v>
      </c>
      <c r="D14" s="51" t="s">
        <v>89</v>
      </c>
      <c r="E14" s="47" t="s">
        <v>90</v>
      </c>
      <c r="F14" s="47" t="s">
        <v>91</v>
      </c>
      <c r="G14" s="48"/>
      <c r="H14" s="47"/>
      <c r="I14" s="47" t="s">
        <v>71</v>
      </c>
      <c r="J14" s="48"/>
      <c r="K14" s="48"/>
    </row>
    <row r="15" ht="22.5" customHeight="1">
      <c r="A15" s="48"/>
      <c r="B15" s="47" t="s">
        <v>103</v>
      </c>
      <c r="C15" s="47" t="s">
        <v>43</v>
      </c>
      <c r="D15" s="47" t="s">
        <v>53</v>
      </c>
      <c r="E15" s="47" t="s">
        <v>104</v>
      </c>
      <c r="F15" s="47" t="s">
        <v>56</v>
      </c>
      <c r="G15" s="47" t="s">
        <v>105</v>
      </c>
      <c r="H15" s="47"/>
      <c r="I15" s="47" t="s">
        <v>71</v>
      </c>
      <c r="J15" s="48"/>
      <c r="K15" s="48"/>
    </row>
    <row r="16" ht="22.5" customHeight="1">
      <c r="A16" s="48"/>
      <c r="B16" s="47" t="s">
        <v>106</v>
      </c>
      <c r="C16" s="47" t="s">
        <v>43</v>
      </c>
      <c r="D16" s="47" t="s">
        <v>53</v>
      </c>
      <c r="E16" s="47" t="s">
        <v>107</v>
      </c>
      <c r="F16" s="47" t="s">
        <v>82</v>
      </c>
      <c r="G16" s="47" t="s">
        <v>108</v>
      </c>
      <c r="H16" s="47"/>
      <c r="I16" s="47" t="s">
        <v>71</v>
      </c>
      <c r="J16" s="48"/>
      <c r="K16" s="48"/>
    </row>
    <row r="17" ht="22.5" customHeight="1">
      <c r="A17" s="48"/>
      <c r="B17" s="47" t="s">
        <v>109</v>
      </c>
      <c r="C17" s="47" t="s">
        <v>43</v>
      </c>
      <c r="D17" s="47" t="s">
        <v>110</v>
      </c>
      <c r="E17" s="47" t="s">
        <v>111</v>
      </c>
      <c r="F17" s="47" t="s">
        <v>91</v>
      </c>
      <c r="G17" s="48"/>
      <c r="H17" s="47"/>
      <c r="I17" s="47" t="s">
        <v>71</v>
      </c>
      <c r="J17" s="48"/>
      <c r="K17" s="48"/>
    </row>
    <row r="18" ht="22.5" customHeight="1">
      <c r="A18" s="48"/>
      <c r="B18" s="47" t="s">
        <v>112</v>
      </c>
      <c r="C18" s="47" t="s">
        <v>43</v>
      </c>
      <c r="D18" s="47" t="s">
        <v>53</v>
      </c>
      <c r="E18" s="47" t="s">
        <v>113</v>
      </c>
      <c r="F18" s="47" t="s">
        <v>56</v>
      </c>
      <c r="G18" s="47" t="s">
        <v>114</v>
      </c>
      <c r="H18" s="47"/>
      <c r="I18" s="47" t="s">
        <v>71</v>
      </c>
      <c r="J18" s="48"/>
      <c r="K18" s="48"/>
    </row>
    <row r="19" ht="22.5" customHeight="1">
      <c r="A19" s="48"/>
      <c r="B19" s="47" t="s">
        <v>115</v>
      </c>
      <c r="C19" s="47" t="s">
        <v>43</v>
      </c>
      <c r="D19" s="47" t="s">
        <v>53</v>
      </c>
      <c r="E19" s="48"/>
      <c r="F19" s="47" t="s">
        <v>91</v>
      </c>
      <c r="G19" s="47" t="s">
        <v>116</v>
      </c>
      <c r="H19" s="47"/>
      <c r="I19" s="47" t="s">
        <v>71</v>
      </c>
      <c r="J19" s="48"/>
      <c r="K19" s="48"/>
    </row>
    <row r="20" ht="22.5" customHeight="1">
      <c r="A20" s="48"/>
      <c r="B20" s="47" t="s">
        <v>117</v>
      </c>
      <c r="C20" s="47" t="s">
        <v>43</v>
      </c>
      <c r="D20" s="47" t="s">
        <v>110</v>
      </c>
      <c r="E20" s="48"/>
      <c r="F20" s="47" t="s">
        <v>91</v>
      </c>
      <c r="G20" s="33">
        <v>7.1624021E7</v>
      </c>
      <c r="H20" s="47"/>
      <c r="I20" s="47" t="s">
        <v>71</v>
      </c>
      <c r="J20" s="48"/>
      <c r="K20" s="48"/>
    </row>
    <row r="21" ht="22.5" customHeight="1">
      <c r="A21" s="48"/>
      <c r="B21" s="47" t="s">
        <v>118</v>
      </c>
      <c r="C21" s="47" t="s">
        <v>43</v>
      </c>
      <c r="D21" s="47" t="s">
        <v>110</v>
      </c>
      <c r="E21" s="48"/>
      <c r="F21" s="47" t="s">
        <v>91</v>
      </c>
      <c r="G21" s="48"/>
      <c r="H21" s="47"/>
      <c r="I21" s="47" t="s">
        <v>71</v>
      </c>
      <c r="J21" s="48"/>
      <c r="K21" s="48"/>
    </row>
    <row r="22" ht="22.5" customHeight="1">
      <c r="A22" s="48"/>
      <c r="B22" s="47" t="s">
        <v>120</v>
      </c>
      <c r="C22" s="47" t="s">
        <v>43</v>
      </c>
      <c r="D22" s="47" t="s">
        <v>53</v>
      </c>
      <c r="E22" s="47" t="s">
        <v>121</v>
      </c>
      <c r="F22" s="47" t="s">
        <v>122</v>
      </c>
      <c r="G22" s="51" t="s">
        <v>123</v>
      </c>
      <c r="H22" s="47"/>
      <c r="I22" s="47" t="s">
        <v>71</v>
      </c>
      <c r="J22" s="48"/>
      <c r="K22" s="48"/>
    </row>
    <row r="23" ht="22.5" customHeight="1">
      <c r="A23" s="48"/>
      <c r="B23" s="47" t="s">
        <v>124</v>
      </c>
      <c r="C23" s="47" t="s">
        <v>43</v>
      </c>
      <c r="D23" s="47" t="s">
        <v>110</v>
      </c>
      <c r="E23" s="48"/>
      <c r="F23" s="47" t="s">
        <v>91</v>
      </c>
      <c r="G23" s="33">
        <v>9.7834518E7</v>
      </c>
      <c r="H23" s="47"/>
      <c r="I23" s="47" t="s">
        <v>71</v>
      </c>
      <c r="J23" s="48"/>
      <c r="K23" s="48"/>
    </row>
    <row r="24" ht="22.5" customHeight="1">
      <c r="A24" s="48"/>
      <c r="B24" s="47" t="s">
        <v>125</v>
      </c>
      <c r="C24" s="47" t="s">
        <v>43</v>
      </c>
      <c r="D24" s="47" t="s">
        <v>110</v>
      </c>
      <c r="E24" s="48"/>
      <c r="F24" s="47" t="s">
        <v>91</v>
      </c>
      <c r="G24" s="47" t="s">
        <v>127</v>
      </c>
      <c r="H24" s="47"/>
      <c r="I24" s="47" t="s">
        <v>71</v>
      </c>
      <c r="J24" s="48"/>
      <c r="K24" s="48"/>
    </row>
    <row r="25" ht="22.5" customHeight="1">
      <c r="A25" s="48"/>
      <c r="B25" s="47" t="s">
        <v>98</v>
      </c>
      <c r="C25" s="47" t="s">
        <v>43</v>
      </c>
      <c r="D25" s="48"/>
      <c r="E25" s="48"/>
      <c r="F25" s="47" t="s">
        <v>91</v>
      </c>
      <c r="G25" s="47" t="s">
        <v>101</v>
      </c>
      <c r="H25" s="47"/>
      <c r="I25" s="47" t="s">
        <v>71</v>
      </c>
      <c r="J25" s="48"/>
      <c r="K25" s="48"/>
    </row>
    <row r="26" ht="22.5" customHeight="1">
      <c r="A26" s="55"/>
      <c r="B26" s="52" t="s">
        <v>85</v>
      </c>
      <c r="C26" s="52" t="s">
        <v>71</v>
      </c>
      <c r="D26" s="47" t="s">
        <v>53</v>
      </c>
      <c r="E26" s="52" t="s">
        <v>85</v>
      </c>
      <c r="F26" s="47" t="s">
        <v>56</v>
      </c>
      <c r="G26" s="52" t="s">
        <v>129</v>
      </c>
      <c r="H26" s="52"/>
      <c r="I26" s="52" t="s">
        <v>71</v>
      </c>
      <c r="J26" s="55"/>
      <c r="K26" s="55"/>
    </row>
    <row r="27" ht="22.5" customHeight="1">
      <c r="A27" s="55"/>
      <c r="B27" s="52" t="s">
        <v>94</v>
      </c>
      <c r="C27" s="52" t="s">
        <v>71</v>
      </c>
      <c r="D27" s="47" t="s">
        <v>53</v>
      </c>
      <c r="E27" s="52" t="s">
        <v>95</v>
      </c>
      <c r="F27" s="47" t="s">
        <v>56</v>
      </c>
      <c r="G27" s="52" t="s">
        <v>96</v>
      </c>
      <c r="H27" s="52"/>
      <c r="I27" s="52" t="s">
        <v>71</v>
      </c>
      <c r="J27" s="55"/>
      <c r="K27" s="55"/>
    </row>
    <row r="28" ht="22.5" customHeight="1">
      <c r="A28" s="55"/>
      <c r="B28" s="52" t="s">
        <v>95</v>
      </c>
      <c r="C28" s="52" t="s">
        <v>71</v>
      </c>
      <c r="D28" s="47" t="s">
        <v>53</v>
      </c>
      <c r="E28" s="52" t="s">
        <v>95</v>
      </c>
      <c r="F28" s="47" t="s">
        <v>56</v>
      </c>
      <c r="G28" s="56">
        <v>9.8823684E7</v>
      </c>
      <c r="H28" s="52"/>
      <c r="I28" s="52" t="s">
        <v>71</v>
      </c>
      <c r="J28" s="55"/>
      <c r="K28" s="55"/>
    </row>
  </sheetData>
  <mergeCells count="6">
    <mergeCell ref="A1:C3"/>
    <mergeCell ref="D1:G1"/>
    <mergeCell ref="I1:J1"/>
    <mergeCell ref="D2:G3"/>
    <mergeCell ref="I2:J2"/>
    <mergeCell ref="I3:J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88"/>
  </cols>
  <sheetData>
    <row r="1">
      <c r="A1" s="1"/>
      <c r="B1" s="2"/>
      <c r="C1" s="3"/>
      <c r="D1" s="4"/>
      <c r="E1" s="5" t="s">
        <v>0</v>
      </c>
      <c r="F1" s="6"/>
      <c r="G1" s="6"/>
      <c r="H1" s="6"/>
      <c r="I1" s="7"/>
      <c r="J1" s="8" t="s">
        <v>1</v>
      </c>
      <c r="K1" s="7"/>
    </row>
    <row r="2">
      <c r="A2" s="1"/>
      <c r="B2" s="9"/>
      <c r="D2" s="10"/>
      <c r="E2" s="11" t="s">
        <v>2</v>
      </c>
      <c r="F2" s="3"/>
      <c r="G2" s="3"/>
      <c r="H2" s="3"/>
      <c r="I2" s="4"/>
      <c r="J2" s="8" t="s">
        <v>3</v>
      </c>
      <c r="K2" s="7"/>
    </row>
    <row r="3">
      <c r="A3" s="1"/>
      <c r="B3" s="12"/>
      <c r="C3" s="13"/>
      <c r="D3" s="14"/>
      <c r="E3" s="12"/>
      <c r="F3" s="13"/>
      <c r="G3" s="13"/>
      <c r="H3" s="13"/>
      <c r="I3" s="14"/>
      <c r="J3" s="8" t="s">
        <v>4</v>
      </c>
      <c r="K3" s="7"/>
    </row>
    <row r="7" ht="172.5" customHeight="1">
      <c r="A7" s="15"/>
      <c r="B7" s="18" t="s">
        <v>5</v>
      </c>
      <c r="C7" s="6"/>
      <c r="D7" s="6"/>
      <c r="E7" s="6"/>
      <c r="F7" s="6"/>
      <c r="G7" s="6"/>
      <c r="H7" s="6"/>
      <c r="I7" s="6"/>
      <c r="J7" s="6"/>
      <c r="K7" s="7"/>
    </row>
    <row r="9" ht="33.75" customHeight="1">
      <c r="C9" s="21" t="s">
        <v>7</v>
      </c>
      <c r="G9" s="22"/>
      <c r="H9" s="22"/>
      <c r="I9" s="22"/>
      <c r="J9" s="22"/>
      <c r="K9" s="22"/>
      <c r="L9" s="22"/>
      <c r="M9" s="22"/>
      <c r="N9" s="22"/>
      <c r="O9" s="22"/>
    </row>
    <row r="10" ht="31.5" customHeight="1">
      <c r="G10" s="22"/>
      <c r="H10" s="22"/>
      <c r="I10" s="22"/>
      <c r="J10" s="22"/>
      <c r="K10" s="22"/>
      <c r="L10" s="22"/>
      <c r="M10" s="22"/>
      <c r="N10" s="22"/>
      <c r="O10" s="22"/>
    </row>
    <row r="11">
      <c r="C11" s="25"/>
      <c r="D11" s="25"/>
      <c r="E11" s="25"/>
      <c r="F11" s="25"/>
      <c r="G11" s="22"/>
      <c r="H11" s="22"/>
      <c r="I11" s="22"/>
      <c r="J11" s="22"/>
      <c r="K11" s="22"/>
      <c r="L11" s="22"/>
      <c r="M11" s="22"/>
      <c r="N11" s="22"/>
      <c r="O11" s="22"/>
    </row>
    <row r="12">
      <c r="C12" s="27" t="s">
        <v>8</v>
      </c>
      <c r="D12" s="28" t="s">
        <v>10</v>
      </c>
      <c r="E12" s="27" t="s">
        <v>11</v>
      </c>
      <c r="F12" s="27" t="s">
        <v>12</v>
      </c>
    </row>
    <row r="13">
      <c r="C13" s="29" t="s">
        <v>13</v>
      </c>
      <c r="D13" s="29">
        <v>4.0</v>
      </c>
      <c r="E13" s="30" t="s">
        <v>14</v>
      </c>
      <c r="F13" s="30" t="s">
        <v>16</v>
      </c>
    </row>
    <row r="14">
      <c r="C14" s="31" t="s">
        <v>17</v>
      </c>
      <c r="D14" s="31">
        <v>3.0</v>
      </c>
      <c r="E14" s="32" t="s">
        <v>19</v>
      </c>
      <c r="F14" s="34" t="s">
        <v>20</v>
      </c>
    </row>
    <row r="15">
      <c r="C15" s="35" t="s">
        <v>22</v>
      </c>
      <c r="D15" s="29">
        <v>2.0</v>
      </c>
      <c r="E15" s="36" t="s">
        <v>24</v>
      </c>
      <c r="F15" s="38" t="s">
        <v>26</v>
      </c>
    </row>
    <row r="16" ht="30.0" customHeight="1">
      <c r="C16" s="31" t="s">
        <v>28</v>
      </c>
      <c r="D16" s="31">
        <v>1.0</v>
      </c>
      <c r="E16" s="39" t="s">
        <v>30</v>
      </c>
      <c r="F16" s="40" t="s">
        <v>32</v>
      </c>
    </row>
    <row r="17">
      <c r="C17" s="42"/>
      <c r="D17" s="42"/>
      <c r="E17" s="45"/>
      <c r="F17" s="45"/>
    </row>
  </sheetData>
  <mergeCells count="8">
    <mergeCell ref="B1:D3"/>
    <mergeCell ref="E1:I1"/>
    <mergeCell ref="J1:K1"/>
    <mergeCell ref="E2:I3"/>
    <mergeCell ref="J2:K2"/>
    <mergeCell ref="J3:K3"/>
    <mergeCell ref="B7:K7"/>
    <mergeCell ref="C9:F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1.25"/>
    <col customWidth="1" min="3" max="3" width="19.0"/>
    <col customWidth="1" min="4" max="4" width="16.75"/>
    <col customWidth="1" min="5" max="5" width="19.5"/>
    <col customWidth="1" min="6" max="6" width="25.5"/>
    <col customWidth="1" min="7" max="7" width="18.5"/>
    <col customWidth="1" min="8" max="8" width="19.63"/>
    <col customWidth="1" min="9" max="9" width="23.25"/>
    <col customWidth="1" min="10" max="11" width="17.5"/>
    <col customWidth="1" min="12" max="12" width="47.5"/>
  </cols>
  <sheetData>
    <row r="1">
      <c r="A1" s="2"/>
      <c r="B1" s="5" t="s">
        <v>0</v>
      </c>
      <c r="C1" s="6"/>
      <c r="D1" s="6"/>
      <c r="E1" s="6"/>
      <c r="F1" s="8" t="s">
        <v>1</v>
      </c>
      <c r="G1" s="7"/>
      <c r="L1" s="17"/>
    </row>
    <row r="2">
      <c r="A2" s="9"/>
      <c r="B2" s="11" t="s">
        <v>2</v>
      </c>
      <c r="C2" s="3"/>
      <c r="D2" s="3"/>
      <c r="E2" s="3"/>
      <c r="F2" s="8" t="s">
        <v>3</v>
      </c>
      <c r="G2" s="7"/>
      <c r="L2" s="17"/>
    </row>
    <row r="3">
      <c r="A3" s="12"/>
      <c r="B3" s="12"/>
      <c r="C3" s="13"/>
      <c r="D3" s="13"/>
      <c r="E3" s="13"/>
      <c r="F3" s="8" t="s">
        <v>4</v>
      </c>
      <c r="G3" s="7"/>
      <c r="L3" s="17"/>
    </row>
    <row r="4">
      <c r="A4" s="17"/>
      <c r="B4" s="17"/>
      <c r="C4" s="17"/>
      <c r="D4" s="24"/>
      <c r="E4" s="24"/>
      <c r="F4" s="17"/>
      <c r="G4" s="24"/>
      <c r="H4" s="17"/>
      <c r="I4" s="17"/>
      <c r="J4" s="17"/>
      <c r="K4" s="17"/>
      <c r="L4" s="17"/>
    </row>
    <row r="5">
      <c r="A5" s="17"/>
      <c r="B5" s="17"/>
      <c r="C5" s="17"/>
      <c r="D5" s="24"/>
      <c r="E5" s="24"/>
      <c r="F5" s="17"/>
      <c r="G5" s="24"/>
      <c r="H5" s="17"/>
      <c r="I5" s="17"/>
      <c r="J5" s="17"/>
      <c r="K5" s="17"/>
      <c r="L5" s="17"/>
    </row>
    <row r="6">
      <c r="A6" s="17"/>
      <c r="B6" s="17"/>
      <c r="C6" s="17"/>
      <c r="D6" s="24"/>
      <c r="E6" s="24"/>
      <c r="F6" s="17"/>
      <c r="G6" s="24"/>
      <c r="H6" s="17"/>
      <c r="I6" s="17"/>
      <c r="J6" s="17"/>
      <c r="K6" s="17"/>
      <c r="L6" s="17"/>
    </row>
    <row r="7">
      <c r="A7" s="17"/>
      <c r="B7" s="17"/>
      <c r="C7" s="17"/>
      <c r="D7" s="24"/>
      <c r="E7" s="24"/>
      <c r="F7" s="17"/>
      <c r="G7" s="24"/>
      <c r="H7" s="17"/>
      <c r="I7" s="17"/>
      <c r="J7" s="17"/>
      <c r="K7" s="17"/>
      <c r="L7" s="17"/>
    </row>
    <row r="8">
      <c r="A8" s="17"/>
      <c r="B8" s="17"/>
      <c r="C8" s="17"/>
      <c r="D8" s="24"/>
      <c r="E8" s="24"/>
      <c r="F8" s="17"/>
      <c r="G8" s="24"/>
      <c r="H8" s="17"/>
      <c r="I8" s="17"/>
      <c r="J8" s="17"/>
      <c r="K8" s="17"/>
      <c r="L8" s="17"/>
    </row>
    <row r="9" ht="22.5" customHeight="1">
      <c r="A9" s="33" t="s">
        <v>15</v>
      </c>
      <c r="B9" s="33" t="s">
        <v>21</v>
      </c>
      <c r="C9" s="33" t="s">
        <v>23</v>
      </c>
      <c r="D9" s="37" t="s">
        <v>25</v>
      </c>
      <c r="E9" s="37" t="s">
        <v>27</v>
      </c>
      <c r="F9" s="33" t="s">
        <v>29</v>
      </c>
      <c r="G9" s="41" t="s">
        <v>31</v>
      </c>
      <c r="H9" s="43" t="s">
        <v>34</v>
      </c>
      <c r="I9" s="43" t="s">
        <v>35</v>
      </c>
      <c r="J9" s="46" t="s">
        <v>37</v>
      </c>
      <c r="K9" s="46" t="s">
        <v>39</v>
      </c>
      <c r="L9" s="33" t="s">
        <v>41</v>
      </c>
    </row>
    <row r="10" ht="22.5" customHeight="1">
      <c r="A10" s="47" t="s">
        <v>42</v>
      </c>
      <c r="B10" s="47" t="s">
        <v>43</v>
      </c>
      <c r="C10" s="47" t="s">
        <v>44</v>
      </c>
      <c r="D10" s="47" t="s">
        <v>45</v>
      </c>
      <c r="E10" s="47" t="s">
        <v>46</v>
      </c>
      <c r="F10" s="47" t="s">
        <v>47</v>
      </c>
      <c r="G10" s="43">
        <v>3.0</v>
      </c>
      <c r="H10" s="43">
        <v>3.0</v>
      </c>
      <c r="I10" s="43">
        <v>3.0</v>
      </c>
      <c r="J10" s="43">
        <v>3.0</v>
      </c>
      <c r="K10" s="43">
        <f t="shared" ref="K10:K14" si="1">SUM(G10:J10)/16*100</f>
        <v>75</v>
      </c>
      <c r="L10" s="50" t="s">
        <v>48</v>
      </c>
    </row>
    <row r="11" ht="22.5" customHeight="1">
      <c r="A11" s="47" t="s">
        <v>49</v>
      </c>
      <c r="B11" s="47" t="s">
        <v>43</v>
      </c>
      <c r="C11" s="47" t="s">
        <v>51</v>
      </c>
      <c r="D11" s="47" t="s">
        <v>52</v>
      </c>
      <c r="E11" s="47" t="s">
        <v>51</v>
      </c>
      <c r="F11" s="47" t="s">
        <v>54</v>
      </c>
      <c r="G11" s="43">
        <v>3.0</v>
      </c>
      <c r="H11" s="43">
        <v>3.0</v>
      </c>
      <c r="I11" s="43">
        <v>3.0</v>
      </c>
      <c r="J11" s="43">
        <v>3.0</v>
      </c>
      <c r="K11" s="43">
        <f t="shared" si="1"/>
        <v>75</v>
      </c>
      <c r="L11" s="50"/>
    </row>
    <row r="12" ht="22.5" customHeight="1">
      <c r="A12" s="47" t="s">
        <v>50</v>
      </c>
      <c r="B12" s="47" t="s">
        <v>43</v>
      </c>
      <c r="C12" s="51" t="s">
        <v>53</v>
      </c>
      <c r="D12" s="47" t="s">
        <v>66</v>
      </c>
      <c r="E12" s="47" t="s">
        <v>68</v>
      </c>
      <c r="F12" s="47" t="s">
        <v>57</v>
      </c>
      <c r="G12" s="43">
        <v>3.0</v>
      </c>
      <c r="H12" s="43">
        <v>2.0</v>
      </c>
      <c r="I12" s="43">
        <v>3.0</v>
      </c>
      <c r="J12" s="43">
        <v>3.0</v>
      </c>
      <c r="K12" s="43">
        <f t="shared" si="1"/>
        <v>68.75</v>
      </c>
      <c r="L12" s="50" t="s">
        <v>74</v>
      </c>
    </row>
    <row r="13" ht="22.5" customHeight="1">
      <c r="A13" s="47" t="s">
        <v>75</v>
      </c>
      <c r="B13" s="47" t="s">
        <v>71</v>
      </c>
      <c r="C13" s="51" t="s">
        <v>53</v>
      </c>
      <c r="D13" s="47" t="s">
        <v>78</v>
      </c>
      <c r="E13" s="47" t="s">
        <v>68</v>
      </c>
      <c r="F13" s="47" t="s">
        <v>81</v>
      </c>
      <c r="G13" s="43">
        <v>3.0</v>
      </c>
      <c r="H13" s="43">
        <v>4.0</v>
      </c>
      <c r="I13" s="43">
        <v>3.0</v>
      </c>
      <c r="J13" s="43">
        <v>3.0</v>
      </c>
      <c r="K13" s="43">
        <f t="shared" si="1"/>
        <v>81.25</v>
      </c>
      <c r="L13" s="50" t="s">
        <v>86</v>
      </c>
    </row>
    <row r="14" ht="22.5" customHeight="1">
      <c r="A14" s="47" t="s">
        <v>87</v>
      </c>
      <c r="B14" s="47" t="s">
        <v>43</v>
      </c>
      <c r="C14" s="51" t="s">
        <v>89</v>
      </c>
      <c r="D14" s="47" t="s">
        <v>90</v>
      </c>
      <c r="E14" s="47" t="s">
        <v>91</v>
      </c>
      <c r="F14" s="47" t="s">
        <v>92</v>
      </c>
      <c r="G14" s="43">
        <v>4.0</v>
      </c>
      <c r="H14" s="43">
        <v>4.0</v>
      </c>
      <c r="I14" s="43">
        <v>4.0</v>
      </c>
      <c r="J14" s="43">
        <v>4.0</v>
      </c>
      <c r="K14" s="43">
        <f t="shared" si="1"/>
        <v>100</v>
      </c>
      <c r="L14" s="50" t="s">
        <v>97</v>
      </c>
    </row>
    <row r="15" ht="22.5" customHeight="1">
      <c r="A15" s="47" t="s">
        <v>98</v>
      </c>
      <c r="B15" s="47" t="s">
        <v>43</v>
      </c>
      <c r="C15" s="47" t="s">
        <v>100</v>
      </c>
      <c r="D15" s="48"/>
      <c r="E15" s="47" t="s">
        <v>91</v>
      </c>
      <c r="F15" s="47" t="s">
        <v>101</v>
      </c>
      <c r="G15" s="47" t="s">
        <v>92</v>
      </c>
      <c r="H15" s="47" t="s">
        <v>92</v>
      </c>
      <c r="I15" s="47" t="s">
        <v>92</v>
      </c>
      <c r="J15" s="47" t="s">
        <v>92</v>
      </c>
      <c r="K15" s="47"/>
      <c r="L15" s="50" t="s">
        <v>102</v>
      </c>
    </row>
  </sheetData>
  <mergeCells count="6">
    <mergeCell ref="A1:A3"/>
    <mergeCell ref="B1:E1"/>
    <mergeCell ref="F1:G1"/>
    <mergeCell ref="B2:E3"/>
    <mergeCell ref="F2:G2"/>
    <mergeCell ref="F3:G3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0.13"/>
    <col customWidth="1" min="3" max="3" width="19.0"/>
    <col customWidth="1" min="4" max="4" width="16.75"/>
    <col customWidth="1" min="5" max="5" width="19.5"/>
    <col customWidth="1" min="6" max="6" width="25.5"/>
    <col customWidth="1" min="7" max="7" width="18.5"/>
    <col customWidth="1" min="8" max="8" width="19.63"/>
    <col customWidth="1" min="9" max="9" width="23.25"/>
    <col customWidth="1" min="10" max="10" width="19.75"/>
    <col customWidth="1" min="11" max="11" width="17.5"/>
    <col customWidth="1" min="12" max="12" width="47.5"/>
  </cols>
  <sheetData>
    <row r="1" ht="19.5" customHeight="1">
      <c r="A1" s="2"/>
      <c r="B1" s="4"/>
      <c r="C1" s="5" t="s">
        <v>0</v>
      </c>
      <c r="D1" s="6"/>
      <c r="E1" s="6"/>
      <c r="F1" s="7"/>
      <c r="L1" s="17"/>
    </row>
    <row r="2" ht="19.5" customHeight="1">
      <c r="A2" s="9"/>
      <c r="B2" s="10"/>
      <c r="C2" s="11" t="s">
        <v>2</v>
      </c>
      <c r="D2" s="3"/>
      <c r="E2" s="3"/>
      <c r="F2" s="4"/>
      <c r="L2" s="17"/>
    </row>
    <row r="3" ht="19.5" customHeight="1">
      <c r="A3" s="12"/>
      <c r="B3" s="14"/>
      <c r="C3" s="12"/>
      <c r="D3" s="13"/>
      <c r="E3" s="13"/>
      <c r="F3" s="14"/>
      <c r="L3" s="17"/>
    </row>
    <row r="4">
      <c r="A4" s="17"/>
      <c r="B4" s="17"/>
      <c r="C4" s="17"/>
      <c r="D4" s="24"/>
      <c r="E4" s="24"/>
      <c r="F4" s="17"/>
      <c r="G4" s="24"/>
      <c r="H4" s="17"/>
      <c r="I4" s="17"/>
      <c r="J4" s="17"/>
      <c r="K4" s="17"/>
      <c r="L4" s="17"/>
    </row>
    <row r="5">
      <c r="A5" s="17"/>
      <c r="B5" s="17"/>
      <c r="C5" s="17"/>
      <c r="D5" s="24"/>
      <c r="E5" s="24"/>
      <c r="F5" s="17"/>
      <c r="G5" s="24"/>
      <c r="H5" s="17"/>
      <c r="I5" s="17"/>
      <c r="J5" s="17"/>
      <c r="K5" s="17"/>
      <c r="L5" s="17"/>
    </row>
    <row r="6" ht="22.5" customHeight="1">
      <c r="A6" s="33" t="s">
        <v>15</v>
      </c>
      <c r="B6" s="33" t="s">
        <v>21</v>
      </c>
      <c r="C6" s="33" t="s">
        <v>23</v>
      </c>
      <c r="D6" s="37" t="s">
        <v>25</v>
      </c>
      <c r="E6" s="37" t="s">
        <v>27</v>
      </c>
      <c r="F6" s="33" t="s">
        <v>29</v>
      </c>
      <c r="G6" s="41" t="s">
        <v>31</v>
      </c>
      <c r="H6" s="43" t="s">
        <v>34</v>
      </c>
      <c r="I6" s="43" t="s">
        <v>35</v>
      </c>
      <c r="J6" s="46" t="s">
        <v>37</v>
      </c>
      <c r="K6" s="46" t="s">
        <v>39</v>
      </c>
      <c r="L6" s="33" t="s">
        <v>41</v>
      </c>
    </row>
    <row r="7" ht="22.5" customHeight="1">
      <c r="A7" s="47" t="s">
        <v>42</v>
      </c>
      <c r="B7" s="47" t="s">
        <v>43</v>
      </c>
      <c r="C7" s="47" t="s">
        <v>44</v>
      </c>
      <c r="D7" s="47" t="s">
        <v>45</v>
      </c>
      <c r="E7" s="47" t="s">
        <v>46</v>
      </c>
      <c r="F7" s="47" t="s">
        <v>47</v>
      </c>
      <c r="G7" s="41">
        <v>3.0</v>
      </c>
      <c r="H7" s="43">
        <v>3.0</v>
      </c>
      <c r="I7" s="43">
        <v>3.0</v>
      </c>
      <c r="J7" s="43">
        <v>3.0</v>
      </c>
      <c r="K7" s="43">
        <f t="shared" ref="K7:K14" si="1">SUM(G7:J7)/16*100</f>
        <v>75</v>
      </c>
      <c r="L7" s="50" t="s">
        <v>48</v>
      </c>
    </row>
    <row r="8" ht="22.5" customHeight="1">
      <c r="A8" s="47" t="s">
        <v>49</v>
      </c>
      <c r="B8" s="47" t="s">
        <v>43</v>
      </c>
      <c r="C8" s="47" t="s">
        <v>51</v>
      </c>
      <c r="D8" s="47" t="s">
        <v>52</v>
      </c>
      <c r="E8" s="47" t="s">
        <v>51</v>
      </c>
      <c r="F8" s="47" t="s">
        <v>54</v>
      </c>
      <c r="G8" s="43">
        <v>3.0</v>
      </c>
      <c r="H8" s="43">
        <v>2.0</v>
      </c>
      <c r="I8" s="43">
        <v>2.0</v>
      </c>
      <c r="J8" s="43">
        <v>2.0</v>
      </c>
      <c r="K8" s="43">
        <f t="shared" si="1"/>
        <v>56.25</v>
      </c>
      <c r="L8" s="50" t="s">
        <v>58</v>
      </c>
    </row>
    <row r="9" ht="22.5" customHeight="1">
      <c r="A9" s="47" t="s">
        <v>59</v>
      </c>
      <c r="B9" s="47" t="s">
        <v>43</v>
      </c>
      <c r="C9" s="47" t="s">
        <v>53</v>
      </c>
      <c r="D9" s="47" t="s">
        <v>60</v>
      </c>
      <c r="E9" s="47" t="s">
        <v>61</v>
      </c>
      <c r="F9" s="47" t="s">
        <v>62</v>
      </c>
      <c r="G9" s="43">
        <v>4.0</v>
      </c>
      <c r="H9" s="43">
        <v>4.0</v>
      </c>
      <c r="I9" s="43">
        <v>4.0</v>
      </c>
      <c r="J9" s="43">
        <v>4.0</v>
      </c>
      <c r="K9" s="43">
        <f t="shared" si="1"/>
        <v>100</v>
      </c>
      <c r="L9" s="50" t="s">
        <v>63</v>
      </c>
    </row>
    <row r="10" ht="22.5" customHeight="1">
      <c r="A10" s="47" t="s">
        <v>64</v>
      </c>
      <c r="B10" s="47" t="s">
        <v>43</v>
      </c>
      <c r="C10" s="47" t="s">
        <v>53</v>
      </c>
      <c r="D10" s="47" t="s">
        <v>65</v>
      </c>
      <c r="E10" s="47" t="s">
        <v>56</v>
      </c>
      <c r="F10" s="47" t="s">
        <v>67</v>
      </c>
      <c r="G10" s="43">
        <v>3.0</v>
      </c>
      <c r="H10" s="43">
        <v>3.0</v>
      </c>
      <c r="I10" s="43">
        <v>3.0</v>
      </c>
      <c r="J10" s="43">
        <v>3.0</v>
      </c>
      <c r="K10" s="43">
        <f t="shared" si="1"/>
        <v>75</v>
      </c>
      <c r="L10" s="50" t="s">
        <v>69</v>
      </c>
    </row>
    <row r="11" ht="22.5" customHeight="1">
      <c r="A11" s="47" t="s">
        <v>70</v>
      </c>
      <c r="B11" s="47" t="s">
        <v>43</v>
      </c>
      <c r="C11" s="47" t="s">
        <v>53</v>
      </c>
      <c r="D11" s="47" t="s">
        <v>72</v>
      </c>
      <c r="E11" s="47" t="s">
        <v>56</v>
      </c>
      <c r="F11" s="47" t="s">
        <v>73</v>
      </c>
      <c r="G11" s="43">
        <v>3.0</v>
      </c>
      <c r="H11" s="43">
        <v>4.0</v>
      </c>
      <c r="I11" s="43">
        <v>4.0</v>
      </c>
      <c r="J11" s="43">
        <v>4.0</v>
      </c>
      <c r="K11" s="43">
        <f t="shared" si="1"/>
        <v>93.75</v>
      </c>
      <c r="L11" s="50" t="s">
        <v>76</v>
      </c>
    </row>
    <row r="12" ht="22.5" customHeight="1">
      <c r="A12" s="47" t="s">
        <v>77</v>
      </c>
      <c r="B12" s="47" t="s">
        <v>43</v>
      </c>
      <c r="C12" s="47" t="s">
        <v>79</v>
      </c>
      <c r="D12" s="47" t="s">
        <v>80</v>
      </c>
      <c r="E12" s="47" t="s">
        <v>82</v>
      </c>
      <c r="F12" s="47" t="s">
        <v>83</v>
      </c>
      <c r="G12" s="43">
        <v>2.0</v>
      </c>
      <c r="H12" s="43">
        <v>3.0</v>
      </c>
      <c r="I12" s="43">
        <v>2.0</v>
      </c>
      <c r="J12" s="43">
        <v>3.0</v>
      </c>
      <c r="K12" s="43">
        <f t="shared" si="1"/>
        <v>62.5</v>
      </c>
      <c r="L12" s="50" t="s">
        <v>84</v>
      </c>
    </row>
    <row r="13" ht="22.5" customHeight="1">
      <c r="A13" s="52" t="s">
        <v>85</v>
      </c>
      <c r="B13" s="52" t="s">
        <v>71</v>
      </c>
      <c r="C13" s="47" t="s">
        <v>53</v>
      </c>
      <c r="D13" s="52" t="s">
        <v>85</v>
      </c>
      <c r="E13" s="47" t="s">
        <v>56</v>
      </c>
      <c r="F13" s="52" t="s">
        <v>88</v>
      </c>
      <c r="G13" s="43">
        <v>3.0</v>
      </c>
      <c r="H13" s="43">
        <v>3.0</v>
      </c>
      <c r="I13" s="43">
        <v>3.0</v>
      </c>
      <c r="J13" s="43">
        <v>1.0</v>
      </c>
      <c r="K13" s="43">
        <f t="shared" si="1"/>
        <v>62.5</v>
      </c>
      <c r="L13" s="51" t="s">
        <v>93</v>
      </c>
    </row>
    <row r="14" ht="22.5" customHeight="1">
      <c r="A14" s="52" t="s">
        <v>94</v>
      </c>
      <c r="B14" s="52" t="s">
        <v>71</v>
      </c>
      <c r="C14" s="47" t="s">
        <v>53</v>
      </c>
      <c r="D14" s="52" t="s">
        <v>95</v>
      </c>
      <c r="E14" s="47" t="s">
        <v>56</v>
      </c>
      <c r="F14" s="52" t="s">
        <v>96</v>
      </c>
      <c r="G14" s="43">
        <v>4.0</v>
      </c>
      <c r="H14" s="43">
        <v>4.0</v>
      </c>
      <c r="I14" s="43">
        <v>4.0</v>
      </c>
      <c r="J14" s="43">
        <v>4.0</v>
      </c>
      <c r="K14" s="43">
        <f t="shared" si="1"/>
        <v>100</v>
      </c>
      <c r="L14" s="47" t="s">
        <v>99</v>
      </c>
    </row>
  </sheetData>
  <mergeCells count="3">
    <mergeCell ref="A1:B3"/>
    <mergeCell ref="C1:F1"/>
    <mergeCell ref="C2:F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0.13"/>
    <col customWidth="1" min="3" max="3" width="19.0"/>
    <col customWidth="1" min="4" max="4" width="16.75"/>
    <col customWidth="1" min="5" max="5" width="19.5"/>
    <col customWidth="1" min="6" max="6" width="25.5"/>
    <col customWidth="1" min="7" max="7" width="18.5"/>
    <col customWidth="1" min="8" max="8" width="19.63"/>
    <col customWidth="1" min="9" max="9" width="22.5"/>
    <col customWidth="1" min="10" max="10" width="21.63"/>
    <col customWidth="1" min="12" max="12" width="29.13"/>
  </cols>
  <sheetData>
    <row r="1" ht="19.5" customHeight="1">
      <c r="A1" s="2"/>
      <c r="B1" s="4"/>
      <c r="C1" s="5" t="s">
        <v>0</v>
      </c>
      <c r="D1" s="6"/>
      <c r="E1" s="6"/>
      <c r="F1" s="7"/>
      <c r="G1" s="8" t="s">
        <v>1</v>
      </c>
      <c r="H1" s="7"/>
      <c r="J1" s="20"/>
      <c r="K1" s="20"/>
      <c r="L1" s="20"/>
    </row>
    <row r="2" ht="19.5" customHeight="1">
      <c r="A2" s="9"/>
      <c r="B2" s="10"/>
      <c r="C2" s="11" t="s">
        <v>2</v>
      </c>
      <c r="D2" s="3"/>
      <c r="E2" s="3"/>
      <c r="F2" s="4"/>
      <c r="G2" s="8" t="s">
        <v>3</v>
      </c>
      <c r="H2" s="7"/>
      <c r="J2" s="26"/>
      <c r="K2" s="26"/>
      <c r="L2" s="26"/>
    </row>
    <row r="3" ht="19.5" customHeight="1">
      <c r="A3" s="12"/>
      <c r="B3" s="14"/>
      <c r="C3" s="12"/>
      <c r="D3" s="13"/>
      <c r="E3" s="13"/>
      <c r="F3" s="14"/>
      <c r="G3" s="19" t="s">
        <v>9</v>
      </c>
      <c r="H3" s="7"/>
      <c r="J3" s="26"/>
      <c r="K3" s="26"/>
      <c r="L3" s="26"/>
    </row>
    <row r="4">
      <c r="A4" s="17"/>
      <c r="B4" s="17"/>
      <c r="C4" s="17"/>
      <c r="D4" s="24"/>
      <c r="E4" s="24"/>
      <c r="F4" s="17"/>
      <c r="G4" s="24"/>
      <c r="H4" s="17"/>
      <c r="I4" s="17"/>
    </row>
    <row r="5">
      <c r="A5" s="17"/>
      <c r="B5" s="17"/>
      <c r="C5" s="17"/>
      <c r="D5" s="24"/>
      <c r="E5" s="24"/>
      <c r="F5" s="17"/>
      <c r="G5" s="24"/>
      <c r="H5" s="17"/>
      <c r="I5" s="17"/>
    </row>
    <row r="6" ht="22.5" customHeight="1">
      <c r="A6" s="33" t="s">
        <v>15</v>
      </c>
      <c r="B6" s="33" t="s">
        <v>21</v>
      </c>
      <c r="C6" s="33" t="s">
        <v>23</v>
      </c>
      <c r="D6" s="37" t="s">
        <v>25</v>
      </c>
      <c r="E6" s="37" t="s">
        <v>27</v>
      </c>
      <c r="F6" s="33" t="s">
        <v>29</v>
      </c>
      <c r="G6" s="41" t="s">
        <v>31</v>
      </c>
      <c r="H6" s="43" t="s">
        <v>34</v>
      </c>
      <c r="I6" s="43" t="s">
        <v>35</v>
      </c>
      <c r="J6" s="46" t="s">
        <v>37</v>
      </c>
      <c r="K6" s="46" t="s">
        <v>39</v>
      </c>
      <c r="L6" s="33" t="s">
        <v>41</v>
      </c>
    </row>
    <row r="7" ht="22.5" customHeight="1">
      <c r="A7" s="47" t="s">
        <v>42</v>
      </c>
      <c r="B7" s="47" t="s">
        <v>43</v>
      </c>
      <c r="C7" s="47" t="s">
        <v>44</v>
      </c>
      <c r="D7" s="47" t="s">
        <v>45</v>
      </c>
      <c r="E7" s="47" t="s">
        <v>46</v>
      </c>
      <c r="F7" s="47" t="s">
        <v>47</v>
      </c>
      <c r="G7" s="47"/>
      <c r="H7" s="49"/>
      <c r="I7" s="49"/>
      <c r="J7" s="54"/>
      <c r="K7" s="54"/>
      <c r="L7" s="54"/>
    </row>
    <row r="8" ht="22.5" customHeight="1">
      <c r="A8" s="47" t="s">
        <v>49</v>
      </c>
      <c r="B8" s="47" t="s">
        <v>43</v>
      </c>
      <c r="C8" s="47" t="s">
        <v>51</v>
      </c>
      <c r="D8" s="47" t="s">
        <v>52</v>
      </c>
      <c r="E8" s="47" t="s">
        <v>51</v>
      </c>
      <c r="F8" s="47" t="s">
        <v>54</v>
      </c>
      <c r="G8" s="47"/>
      <c r="H8" s="49"/>
      <c r="I8" s="49"/>
      <c r="J8" s="54"/>
      <c r="K8" s="54"/>
      <c r="L8" s="54"/>
    </row>
    <row r="9" ht="22.5" customHeight="1">
      <c r="A9" s="47" t="s">
        <v>59</v>
      </c>
      <c r="B9" s="47" t="s">
        <v>43</v>
      </c>
      <c r="C9" s="47" t="s">
        <v>53</v>
      </c>
      <c r="D9" s="47" t="s">
        <v>60</v>
      </c>
      <c r="E9" s="47" t="s">
        <v>61</v>
      </c>
      <c r="F9" s="47" t="s">
        <v>62</v>
      </c>
      <c r="G9" s="47"/>
      <c r="H9" s="49"/>
      <c r="I9" s="49"/>
      <c r="J9" s="54"/>
      <c r="K9" s="54"/>
      <c r="L9" s="54"/>
    </row>
    <row r="10" ht="22.5" customHeight="1">
      <c r="A10" s="47" t="s">
        <v>64</v>
      </c>
      <c r="B10" s="47" t="s">
        <v>43</v>
      </c>
      <c r="C10" s="47" t="s">
        <v>53</v>
      </c>
      <c r="D10" s="47" t="s">
        <v>65</v>
      </c>
      <c r="E10" s="47" t="s">
        <v>56</v>
      </c>
      <c r="F10" s="47" t="s">
        <v>67</v>
      </c>
      <c r="G10" s="47"/>
      <c r="H10" s="49"/>
      <c r="I10" s="49"/>
      <c r="J10" s="54"/>
      <c r="K10" s="54"/>
      <c r="L10" s="54"/>
    </row>
    <row r="11" ht="22.5" customHeight="1">
      <c r="A11" s="47" t="s">
        <v>70</v>
      </c>
      <c r="B11" s="47" t="s">
        <v>43</v>
      </c>
      <c r="C11" s="47" t="s">
        <v>53</v>
      </c>
      <c r="D11" s="47" t="s">
        <v>72</v>
      </c>
      <c r="E11" s="47" t="s">
        <v>56</v>
      </c>
      <c r="F11" s="47" t="s">
        <v>73</v>
      </c>
      <c r="G11" s="47"/>
      <c r="H11" s="49"/>
      <c r="I11" s="53"/>
      <c r="J11" s="54"/>
      <c r="K11" s="54"/>
      <c r="L11" s="54"/>
    </row>
    <row r="12" ht="22.5" customHeight="1">
      <c r="A12" s="47" t="s">
        <v>77</v>
      </c>
      <c r="B12" s="47" t="s">
        <v>43</v>
      </c>
      <c r="C12" s="47" t="s">
        <v>79</v>
      </c>
      <c r="D12" s="47" t="s">
        <v>80</v>
      </c>
      <c r="E12" s="47" t="s">
        <v>82</v>
      </c>
      <c r="F12" s="47" t="s">
        <v>83</v>
      </c>
      <c r="G12" s="47"/>
      <c r="H12" s="48"/>
      <c r="I12" s="48"/>
      <c r="J12" s="55"/>
      <c r="K12" s="55"/>
      <c r="L12" s="55"/>
    </row>
    <row r="13" ht="22.5" customHeight="1">
      <c r="A13" s="47" t="s">
        <v>103</v>
      </c>
      <c r="B13" s="47" t="s">
        <v>43</v>
      </c>
      <c r="C13" s="47" t="s">
        <v>53</v>
      </c>
      <c r="D13" s="47" t="s">
        <v>104</v>
      </c>
      <c r="E13" s="47" t="s">
        <v>56</v>
      </c>
      <c r="F13" s="47" t="s">
        <v>105</v>
      </c>
      <c r="G13" s="47"/>
      <c r="H13" s="48"/>
      <c r="I13" s="48"/>
      <c r="J13" s="55"/>
      <c r="K13" s="55"/>
      <c r="L13" s="55"/>
    </row>
    <row r="14" ht="22.5" customHeight="1">
      <c r="A14" s="47" t="s">
        <v>106</v>
      </c>
      <c r="B14" s="47" t="s">
        <v>43</v>
      </c>
      <c r="C14" s="47" t="s">
        <v>53</v>
      </c>
      <c r="D14" s="47" t="s">
        <v>107</v>
      </c>
      <c r="E14" s="47" t="s">
        <v>82</v>
      </c>
      <c r="F14" s="47" t="s">
        <v>108</v>
      </c>
      <c r="G14" s="47"/>
      <c r="H14" s="48"/>
      <c r="I14" s="48"/>
      <c r="J14" s="55"/>
      <c r="K14" s="55"/>
      <c r="L14" s="55"/>
    </row>
    <row r="15" ht="22.5" customHeight="1">
      <c r="A15" s="47" t="s">
        <v>112</v>
      </c>
      <c r="B15" s="47" t="s">
        <v>43</v>
      </c>
      <c r="C15" s="47" t="s">
        <v>53</v>
      </c>
      <c r="D15" s="47" t="s">
        <v>113</v>
      </c>
      <c r="E15" s="47" t="s">
        <v>56</v>
      </c>
      <c r="F15" s="47" t="s">
        <v>114</v>
      </c>
      <c r="G15" s="47"/>
      <c r="H15" s="48"/>
      <c r="I15" s="48"/>
      <c r="J15" s="55"/>
      <c r="K15" s="55"/>
      <c r="L15" s="55"/>
    </row>
    <row r="16" ht="22.5" customHeight="1">
      <c r="A16" s="52" t="s">
        <v>95</v>
      </c>
      <c r="B16" s="52" t="s">
        <v>71</v>
      </c>
      <c r="C16" s="47" t="s">
        <v>53</v>
      </c>
      <c r="D16" s="52" t="s">
        <v>95</v>
      </c>
      <c r="E16" s="47" t="s">
        <v>56</v>
      </c>
      <c r="F16" s="56">
        <v>9.8823684E7</v>
      </c>
      <c r="G16" s="52"/>
      <c r="H16" s="55"/>
      <c r="I16" s="55"/>
      <c r="J16" s="55"/>
      <c r="K16" s="55"/>
      <c r="L16" s="55"/>
    </row>
  </sheetData>
  <mergeCells count="6">
    <mergeCell ref="A1:B3"/>
    <mergeCell ref="C1:F1"/>
    <mergeCell ref="G1:H1"/>
    <mergeCell ref="C2:F3"/>
    <mergeCell ref="G2:H2"/>
    <mergeCell ref="G3:H3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7.75"/>
    <col customWidth="1" min="2" max="2" width="29.13"/>
    <col customWidth="1" min="3" max="3" width="11.25"/>
    <col customWidth="1" min="4" max="4" width="19.0"/>
    <col customWidth="1" min="5" max="5" width="16.75"/>
    <col customWidth="1" min="6" max="6" width="19.5"/>
    <col customWidth="1" min="7" max="7" width="25.5"/>
    <col customWidth="1" min="8" max="8" width="18.5"/>
    <col customWidth="1" min="9" max="9" width="19.63"/>
    <col customWidth="1" min="10" max="10" width="17.5"/>
    <col customWidth="1" min="11" max="11" width="47.5"/>
  </cols>
  <sheetData>
    <row r="1">
      <c r="A1" s="2"/>
      <c r="B1" s="3"/>
      <c r="C1" s="5" t="s">
        <v>0</v>
      </c>
      <c r="D1" s="6"/>
      <c r="E1" s="6"/>
      <c r="F1" s="6"/>
      <c r="G1" s="8" t="s">
        <v>1</v>
      </c>
      <c r="H1" s="7"/>
      <c r="K1" s="17"/>
    </row>
    <row r="2">
      <c r="A2" s="9"/>
      <c r="C2" s="11" t="s">
        <v>2</v>
      </c>
      <c r="D2" s="3"/>
      <c r="E2" s="3"/>
      <c r="F2" s="3"/>
      <c r="G2" s="8" t="s">
        <v>3</v>
      </c>
      <c r="H2" s="7"/>
      <c r="K2" s="17"/>
    </row>
    <row r="3">
      <c r="A3" s="12"/>
      <c r="B3" s="13"/>
      <c r="C3" s="12"/>
      <c r="D3" s="13"/>
      <c r="E3" s="13"/>
      <c r="F3" s="13"/>
      <c r="G3" s="8" t="s">
        <v>4</v>
      </c>
      <c r="H3" s="7"/>
      <c r="K3" s="17"/>
    </row>
    <row r="4" ht="8.25" customHeight="1">
      <c r="A4" s="17"/>
      <c r="B4" s="17"/>
      <c r="C4" s="17"/>
      <c r="D4" s="17"/>
      <c r="E4" s="24"/>
      <c r="F4" s="24"/>
      <c r="G4" s="17"/>
      <c r="H4" s="24"/>
      <c r="I4" s="17"/>
      <c r="J4" s="17"/>
      <c r="K4" s="17"/>
    </row>
    <row r="5" ht="8.25" customHeight="1">
      <c r="A5" s="17"/>
      <c r="B5" s="17"/>
      <c r="C5" s="17"/>
      <c r="D5" s="17"/>
      <c r="E5" s="24"/>
      <c r="F5" s="24"/>
      <c r="G5" s="17"/>
      <c r="H5" s="24"/>
      <c r="I5" s="17"/>
      <c r="J5" s="17"/>
      <c r="K5" s="17"/>
    </row>
    <row r="6" ht="8.25" customHeight="1">
      <c r="A6" s="17"/>
      <c r="B6" s="17"/>
      <c r="C6" s="17"/>
      <c r="D6" s="17"/>
      <c r="E6" s="24"/>
      <c r="F6" s="24"/>
      <c r="G6" s="17"/>
      <c r="H6" s="24"/>
      <c r="I6" s="17"/>
      <c r="J6" s="17"/>
      <c r="K6" s="17"/>
    </row>
    <row r="7" ht="1.5" customHeight="1">
      <c r="A7" s="17"/>
      <c r="B7" s="17"/>
      <c r="C7" s="17"/>
      <c r="D7" s="17"/>
      <c r="E7" s="24"/>
      <c r="F7" s="24"/>
      <c r="G7" s="17"/>
      <c r="H7" s="24"/>
      <c r="I7" s="17"/>
      <c r="J7" s="17"/>
      <c r="K7" s="17"/>
    </row>
    <row r="8">
      <c r="A8" s="17"/>
      <c r="B8" s="17"/>
      <c r="C8" s="17"/>
      <c r="D8" s="17"/>
      <c r="E8" s="24"/>
      <c r="F8" s="24"/>
      <c r="G8" s="17"/>
      <c r="H8" s="24"/>
      <c r="I8" s="17"/>
      <c r="J8" s="17"/>
      <c r="K8" s="17"/>
    </row>
    <row r="9" ht="16.5" customHeight="1">
      <c r="A9" s="33" t="s">
        <v>18</v>
      </c>
      <c r="B9" s="33" t="s">
        <v>15</v>
      </c>
      <c r="C9" s="33" t="s">
        <v>21</v>
      </c>
      <c r="D9" s="33" t="s">
        <v>23</v>
      </c>
      <c r="E9" s="37" t="s">
        <v>25</v>
      </c>
      <c r="F9" s="37" t="s">
        <v>27</v>
      </c>
      <c r="G9" s="33" t="s">
        <v>29</v>
      </c>
      <c r="H9" s="37" t="s">
        <v>36</v>
      </c>
      <c r="I9" s="33" t="s">
        <v>38</v>
      </c>
      <c r="J9" s="33" t="s">
        <v>40</v>
      </c>
      <c r="K9" s="33" t="s">
        <v>119</v>
      </c>
    </row>
    <row r="10" ht="22.5" customHeight="1">
      <c r="A10" s="48"/>
      <c r="B10" s="47" t="s">
        <v>42</v>
      </c>
      <c r="C10" s="47" t="s">
        <v>43</v>
      </c>
      <c r="D10" s="47" t="s">
        <v>44</v>
      </c>
      <c r="E10" s="47" t="s">
        <v>45</v>
      </c>
      <c r="F10" s="47" t="s">
        <v>46</v>
      </c>
      <c r="G10" s="47" t="s">
        <v>47</v>
      </c>
      <c r="H10" s="48"/>
      <c r="I10" s="49"/>
      <c r="J10" s="49"/>
      <c r="K10" s="50" t="s">
        <v>48</v>
      </c>
    </row>
    <row r="11" ht="22.5" customHeight="1">
      <c r="A11" s="48"/>
      <c r="B11" s="47" t="s">
        <v>49</v>
      </c>
      <c r="C11" s="47" t="s">
        <v>43</v>
      </c>
      <c r="D11" s="47" t="s">
        <v>51</v>
      </c>
      <c r="E11" s="47" t="s">
        <v>52</v>
      </c>
      <c r="F11" s="47" t="s">
        <v>51</v>
      </c>
      <c r="G11" s="47" t="s">
        <v>54</v>
      </c>
      <c r="H11" s="48"/>
      <c r="I11" s="49"/>
      <c r="J11" s="49"/>
      <c r="K11" s="50"/>
    </row>
    <row r="12" ht="22.5" customHeight="1">
      <c r="A12" s="48"/>
      <c r="B12" s="47" t="s">
        <v>59</v>
      </c>
      <c r="C12" s="47" t="s">
        <v>43</v>
      </c>
      <c r="D12" s="47" t="s">
        <v>53</v>
      </c>
      <c r="E12" s="47" t="s">
        <v>60</v>
      </c>
      <c r="F12" s="47" t="s">
        <v>61</v>
      </c>
      <c r="G12" s="47" t="s">
        <v>62</v>
      </c>
      <c r="H12" s="48"/>
      <c r="I12" s="49"/>
      <c r="J12" s="49"/>
      <c r="K12" s="50" t="s">
        <v>126</v>
      </c>
    </row>
    <row r="13" ht="22.5" customHeight="1">
      <c r="A13" s="48"/>
      <c r="B13" s="47" t="s">
        <v>64</v>
      </c>
      <c r="C13" s="47" t="s">
        <v>43</v>
      </c>
      <c r="D13" s="47" t="s">
        <v>53</v>
      </c>
      <c r="E13" s="47" t="s">
        <v>65</v>
      </c>
      <c r="F13" s="47" t="s">
        <v>56</v>
      </c>
      <c r="G13" s="47" t="s">
        <v>67</v>
      </c>
      <c r="H13" s="48"/>
      <c r="I13" s="49"/>
      <c r="J13" s="49"/>
      <c r="K13" s="50" t="s">
        <v>128</v>
      </c>
    </row>
    <row r="14" ht="22.5" customHeight="1">
      <c r="A14" s="48"/>
      <c r="B14" s="47" t="s">
        <v>70</v>
      </c>
      <c r="C14" s="47" t="s">
        <v>43</v>
      </c>
      <c r="D14" s="47" t="s">
        <v>53</v>
      </c>
      <c r="E14" s="47" t="s">
        <v>72</v>
      </c>
      <c r="F14" s="47" t="s">
        <v>56</v>
      </c>
      <c r="G14" s="47" t="s">
        <v>73</v>
      </c>
      <c r="H14" s="48"/>
      <c r="I14" s="49"/>
      <c r="J14" s="53"/>
      <c r="K14" s="50" t="s">
        <v>130</v>
      </c>
    </row>
    <row r="15" ht="22.5" customHeight="1">
      <c r="A15" s="48"/>
      <c r="B15" s="47" t="s">
        <v>77</v>
      </c>
      <c r="C15" s="47" t="s">
        <v>43</v>
      </c>
      <c r="D15" s="47" t="s">
        <v>79</v>
      </c>
      <c r="E15" s="47" t="s">
        <v>80</v>
      </c>
      <c r="F15" s="47" t="s">
        <v>82</v>
      </c>
      <c r="G15" s="47" t="s">
        <v>83</v>
      </c>
      <c r="H15" s="48"/>
      <c r="I15" s="48"/>
      <c r="J15" s="48"/>
      <c r="K15" s="50" t="s">
        <v>131</v>
      </c>
    </row>
    <row r="16" ht="22.5" customHeight="1">
      <c r="A16" s="48"/>
      <c r="B16" s="47" t="s">
        <v>87</v>
      </c>
      <c r="C16" s="47" t="s">
        <v>43</v>
      </c>
      <c r="D16" s="51" t="s">
        <v>89</v>
      </c>
      <c r="E16" s="47" t="s">
        <v>90</v>
      </c>
      <c r="F16" s="47" t="s">
        <v>91</v>
      </c>
      <c r="G16" s="48"/>
      <c r="H16" s="48"/>
      <c r="I16" s="48"/>
      <c r="J16" s="48"/>
      <c r="K16" s="50" t="s">
        <v>97</v>
      </c>
    </row>
    <row r="17" ht="22.5" customHeight="1">
      <c r="A17" s="48"/>
      <c r="B17" s="47" t="s">
        <v>103</v>
      </c>
      <c r="C17" s="47" t="s">
        <v>43</v>
      </c>
      <c r="D17" s="47" t="s">
        <v>53</v>
      </c>
      <c r="E17" s="47" t="s">
        <v>104</v>
      </c>
      <c r="F17" s="47" t="s">
        <v>56</v>
      </c>
      <c r="G17" s="47" t="s">
        <v>105</v>
      </c>
      <c r="H17" s="48"/>
      <c r="I17" s="48"/>
      <c r="J17" s="48"/>
      <c r="K17" s="50" t="s">
        <v>132</v>
      </c>
    </row>
    <row r="18" ht="22.5" customHeight="1">
      <c r="A18" s="48"/>
      <c r="B18" s="47" t="s">
        <v>106</v>
      </c>
      <c r="C18" s="47" t="s">
        <v>43</v>
      </c>
      <c r="D18" s="47" t="s">
        <v>53</v>
      </c>
      <c r="E18" s="47" t="s">
        <v>107</v>
      </c>
      <c r="F18" s="47" t="s">
        <v>82</v>
      </c>
      <c r="G18" s="47" t="s">
        <v>108</v>
      </c>
      <c r="H18" s="48"/>
      <c r="I18" s="48"/>
      <c r="J18" s="48"/>
      <c r="K18" s="50" t="s">
        <v>133</v>
      </c>
    </row>
    <row r="19" ht="22.5" customHeight="1">
      <c r="A19" s="48"/>
      <c r="B19" s="47" t="s">
        <v>109</v>
      </c>
      <c r="C19" s="47" t="s">
        <v>43</v>
      </c>
      <c r="D19" s="47" t="s">
        <v>110</v>
      </c>
      <c r="E19" s="47" t="s">
        <v>111</v>
      </c>
      <c r="F19" s="47" t="s">
        <v>91</v>
      </c>
      <c r="G19" s="48"/>
      <c r="H19" s="48"/>
      <c r="I19" s="48"/>
      <c r="J19" s="48"/>
      <c r="K19" s="50" t="s">
        <v>134</v>
      </c>
    </row>
    <row r="20" ht="22.5" customHeight="1">
      <c r="A20" s="48"/>
      <c r="B20" s="47" t="s">
        <v>112</v>
      </c>
      <c r="C20" s="47" t="s">
        <v>43</v>
      </c>
      <c r="D20" s="47" t="s">
        <v>53</v>
      </c>
      <c r="E20" s="47" t="s">
        <v>113</v>
      </c>
      <c r="F20" s="47" t="s">
        <v>56</v>
      </c>
      <c r="G20" s="47" t="s">
        <v>114</v>
      </c>
      <c r="H20" s="48"/>
      <c r="I20" s="48"/>
      <c r="J20" s="48"/>
      <c r="K20" s="50" t="s">
        <v>135</v>
      </c>
    </row>
    <row r="21" ht="22.5" customHeight="1">
      <c r="A21" s="48"/>
      <c r="B21" s="47" t="s">
        <v>115</v>
      </c>
      <c r="C21" s="47" t="s">
        <v>43</v>
      </c>
      <c r="D21" s="47" t="s">
        <v>53</v>
      </c>
      <c r="E21" s="48"/>
      <c r="F21" s="47" t="s">
        <v>91</v>
      </c>
      <c r="G21" s="47" t="s">
        <v>116</v>
      </c>
      <c r="H21" s="48"/>
      <c r="I21" s="48"/>
      <c r="J21" s="48"/>
      <c r="K21" s="50" t="s">
        <v>136</v>
      </c>
    </row>
    <row r="22" ht="22.5" customHeight="1">
      <c r="A22" s="48"/>
      <c r="B22" s="47" t="s">
        <v>117</v>
      </c>
      <c r="C22" s="47" t="s">
        <v>43</v>
      </c>
      <c r="D22" s="47" t="s">
        <v>110</v>
      </c>
      <c r="E22" s="48"/>
      <c r="F22" s="47" t="s">
        <v>91</v>
      </c>
      <c r="G22" s="33">
        <v>7.1624021E7</v>
      </c>
      <c r="H22" s="48"/>
      <c r="I22" s="48"/>
      <c r="J22" s="48"/>
      <c r="K22" s="50" t="s">
        <v>134</v>
      </c>
    </row>
    <row r="23" ht="22.5" customHeight="1">
      <c r="A23" s="48"/>
      <c r="B23" s="47" t="s">
        <v>118</v>
      </c>
      <c r="C23" s="47" t="s">
        <v>43</v>
      </c>
      <c r="D23" s="47" t="s">
        <v>110</v>
      </c>
      <c r="E23" s="48"/>
      <c r="F23" s="47" t="s">
        <v>91</v>
      </c>
      <c r="G23" s="48"/>
      <c r="H23" s="48"/>
      <c r="I23" s="48"/>
      <c r="J23" s="48"/>
      <c r="K23" s="50" t="s">
        <v>134</v>
      </c>
    </row>
    <row r="24" ht="22.5" customHeight="1">
      <c r="A24" s="48"/>
      <c r="B24" s="47" t="s">
        <v>120</v>
      </c>
      <c r="C24" s="47" t="s">
        <v>43</v>
      </c>
      <c r="D24" s="47" t="s">
        <v>53</v>
      </c>
      <c r="E24" s="47" t="s">
        <v>121</v>
      </c>
      <c r="F24" s="47" t="s">
        <v>122</v>
      </c>
      <c r="G24" s="51" t="s">
        <v>123</v>
      </c>
      <c r="H24" s="48"/>
      <c r="I24" s="48"/>
      <c r="J24" s="48"/>
      <c r="K24" s="50" t="s">
        <v>137</v>
      </c>
    </row>
    <row r="25" ht="22.5" customHeight="1">
      <c r="A25" s="48"/>
      <c r="B25" s="47" t="s">
        <v>124</v>
      </c>
      <c r="C25" s="47" t="s">
        <v>43</v>
      </c>
      <c r="D25" s="47" t="s">
        <v>110</v>
      </c>
      <c r="E25" s="48"/>
      <c r="F25" s="47" t="s">
        <v>91</v>
      </c>
      <c r="G25" s="33">
        <v>9.7834518E7</v>
      </c>
      <c r="H25" s="48"/>
      <c r="I25" s="48"/>
      <c r="J25" s="48"/>
      <c r="K25" s="50" t="s">
        <v>138</v>
      </c>
    </row>
    <row r="26" ht="22.5" customHeight="1">
      <c r="A26" s="48"/>
      <c r="B26" s="47" t="s">
        <v>125</v>
      </c>
      <c r="C26" s="47" t="s">
        <v>43</v>
      </c>
      <c r="D26" s="47" t="s">
        <v>110</v>
      </c>
      <c r="E26" s="48"/>
      <c r="F26" s="47" t="s">
        <v>91</v>
      </c>
      <c r="G26" s="47" t="s">
        <v>127</v>
      </c>
      <c r="H26" s="48"/>
      <c r="I26" s="48"/>
      <c r="J26" s="48"/>
      <c r="K26" s="50" t="s">
        <v>139</v>
      </c>
    </row>
    <row r="27" ht="22.5" customHeight="1">
      <c r="A27" s="48"/>
      <c r="B27" s="47" t="s">
        <v>98</v>
      </c>
      <c r="C27" s="47" t="s">
        <v>43</v>
      </c>
      <c r="D27" s="48"/>
      <c r="E27" s="48"/>
      <c r="F27" s="47" t="s">
        <v>91</v>
      </c>
      <c r="G27" s="47" t="s">
        <v>101</v>
      </c>
      <c r="H27" s="48"/>
      <c r="I27" s="48"/>
      <c r="J27" s="48"/>
      <c r="K27" s="50" t="s">
        <v>102</v>
      </c>
    </row>
    <row r="28" ht="22.5" customHeight="1">
      <c r="A28" s="55"/>
      <c r="B28" s="52" t="s">
        <v>85</v>
      </c>
      <c r="C28" s="52" t="s">
        <v>71</v>
      </c>
      <c r="D28" s="47" t="s">
        <v>53</v>
      </c>
      <c r="E28" s="52" t="s">
        <v>85</v>
      </c>
      <c r="F28" s="47" t="s">
        <v>56</v>
      </c>
      <c r="G28" s="52" t="s">
        <v>129</v>
      </c>
      <c r="H28" s="55"/>
      <c r="I28" s="55"/>
      <c r="J28" s="55"/>
      <c r="K28" s="57"/>
    </row>
    <row r="29" ht="22.5" customHeight="1">
      <c r="A29" s="55"/>
      <c r="B29" s="52" t="s">
        <v>94</v>
      </c>
      <c r="C29" s="52" t="s">
        <v>71</v>
      </c>
      <c r="D29" s="47" t="s">
        <v>53</v>
      </c>
      <c r="E29" s="52" t="s">
        <v>95</v>
      </c>
      <c r="F29" s="47" t="s">
        <v>56</v>
      </c>
      <c r="G29" s="52" t="s">
        <v>96</v>
      </c>
      <c r="H29" s="55"/>
      <c r="I29" s="55"/>
      <c r="J29" s="55"/>
      <c r="K29" s="57"/>
    </row>
    <row r="30" ht="22.5" customHeight="1">
      <c r="A30" s="55"/>
      <c r="B30" s="52" t="s">
        <v>95</v>
      </c>
      <c r="C30" s="52" t="s">
        <v>71</v>
      </c>
      <c r="D30" s="47" t="s">
        <v>53</v>
      </c>
      <c r="E30" s="52" t="s">
        <v>95</v>
      </c>
      <c r="F30" s="47" t="s">
        <v>56</v>
      </c>
      <c r="G30" s="56">
        <v>9.8823684E7</v>
      </c>
      <c r="H30" s="55"/>
      <c r="I30" s="55"/>
      <c r="J30" s="55"/>
      <c r="K30" s="57"/>
    </row>
  </sheetData>
  <mergeCells count="6">
    <mergeCell ref="A1:B3"/>
    <mergeCell ref="C1:F1"/>
    <mergeCell ref="G1:H1"/>
    <mergeCell ref="C2:F3"/>
    <mergeCell ref="G2:H2"/>
    <mergeCell ref="G3:H3"/>
  </mergeCells>
  <drawing r:id="rId1"/>
  <tableParts count="1">
    <tablePart r:id="rId3"/>
  </tableParts>
</worksheet>
</file>