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uivi des Offres et " sheetId="1" r:id="rId4"/>
    <sheet state="visible" name="Etapes Pipe" sheetId="2" r:id="rId5"/>
  </sheets>
  <definedNames/>
  <calcPr/>
  <extLst>
    <ext uri="GoogleSheetsCustomDataVersion2">
      <go:sheetsCustomData xmlns:go="http://customooxmlschemas.google.com/" r:id="rId6" roundtripDataChecksum="j65SXQEQJhmOBjYg4n2hs5eno7YbmiyavxlAingdtxw="/>
    </ext>
  </extLst>
</workbook>
</file>

<file path=xl/sharedStrings.xml><?xml version="1.0" encoding="utf-8"?>
<sst xmlns="http://schemas.openxmlformats.org/spreadsheetml/2006/main" count="112" uniqueCount="96">
  <si>
    <t>Année</t>
  </si>
  <si>
    <t>ID Offre</t>
  </si>
  <si>
    <t>Date Saisie</t>
  </si>
  <si>
    <t>Prospect / Client</t>
  </si>
  <si>
    <t>Domaine d'activité</t>
  </si>
  <si>
    <t>Secteur</t>
  </si>
  <si>
    <t>Adresse</t>
  </si>
  <si>
    <t>Pays</t>
  </si>
  <si>
    <t>Objet du Projet</t>
  </si>
  <si>
    <t>Nom et Prénom</t>
  </si>
  <si>
    <t>Fonction</t>
  </si>
  <si>
    <t>Email</t>
  </si>
  <si>
    <t>Téléphone</t>
  </si>
  <si>
    <t>Historique des intéractions</t>
  </si>
  <si>
    <t>Canal d'acquisition (Source)</t>
  </si>
  <si>
    <t>Pilote</t>
  </si>
  <si>
    <t>Étape du Pipe</t>
  </si>
  <si>
    <t>Gagné / Perdu</t>
  </si>
  <si>
    <t>Montant Estimé (HT)</t>
  </si>
  <si>
    <t>Probabilité</t>
  </si>
  <si>
    <t>CA Pondéré (Calculé)</t>
  </si>
  <si>
    <t>Date Clôture Prévue</t>
  </si>
  <si>
    <t>Statut</t>
  </si>
  <si>
    <t>Motif si Perdu / Sans suite</t>
  </si>
  <si>
    <t>Plan d'action / Commentaires</t>
  </si>
  <si>
    <t>Reclamations</t>
  </si>
  <si>
    <t>Bulgin</t>
  </si>
  <si>
    <t>Formation / Recrutement / Consulting</t>
  </si>
  <si>
    <t>Asmara</t>
  </si>
  <si>
    <t>Tecnusi</t>
  </si>
  <si>
    <t>Automobile</t>
  </si>
  <si>
    <t>Saida</t>
  </si>
  <si>
    <t>Agri food</t>
  </si>
  <si>
    <t>APTIV</t>
  </si>
  <si>
    <t>Aéronautique</t>
  </si>
  <si>
    <t>Actia</t>
  </si>
  <si>
    <t>CIPI Actia</t>
  </si>
  <si>
    <t>ASSAD</t>
  </si>
  <si>
    <t>AVO Carbon</t>
  </si>
  <si>
    <t>Delmon France</t>
  </si>
  <si>
    <t xml:space="preserve">Usinage </t>
  </si>
  <si>
    <t>François Bouviala</t>
  </si>
  <si>
    <t>Directeur Groupe</t>
  </si>
  <si>
    <t xml:space="preserve">Visite sur site </t>
  </si>
  <si>
    <t>Catering Delight</t>
  </si>
  <si>
    <t>Madar Group</t>
  </si>
  <si>
    <t>FSP</t>
  </si>
  <si>
    <t>MDC-26-001</t>
  </si>
  <si>
    <t xml:space="preserve">MCW </t>
  </si>
  <si>
    <t>Formation / Recrutement</t>
  </si>
  <si>
    <t>Amani Methni 
Manel Askri</t>
  </si>
  <si>
    <t xml:space="preserve">Qualité et formation
RH
</t>
  </si>
  <si>
    <t>a.methni@mcw.tn</t>
  </si>
  <si>
    <t xml:space="preserve">03/03/2026 : Visite sur site
   : 1ère demande de formation </t>
  </si>
  <si>
    <t>Prospection directe</t>
  </si>
  <si>
    <t>Linda / Afef</t>
  </si>
  <si>
    <t>Clôturé (Fin de cycle)</t>
  </si>
  <si>
    <t>15 000 €</t>
  </si>
  <si>
    <t>12 000 €</t>
  </si>
  <si>
    <t>En cours</t>
  </si>
  <si>
    <t>-</t>
  </si>
  <si>
    <t>Relance prévue le 22/06 suite à l'envoi de la V2.</t>
  </si>
  <si>
    <t>MDC-26-002</t>
  </si>
  <si>
    <t>Timilec</t>
  </si>
  <si>
    <t>Formation</t>
  </si>
  <si>
    <t>Houssem Limem</t>
  </si>
  <si>
    <t>Responsable formation</t>
  </si>
  <si>
    <t>Offre Soumise (Attente)</t>
  </si>
  <si>
    <t>8 500 €</t>
  </si>
  <si>
    <t>Gagné</t>
  </si>
  <si>
    <t>Contrat signé. Transmis au processus Réalisation.</t>
  </si>
  <si>
    <t>MDC-26-003</t>
  </si>
  <si>
    <t>Beretta</t>
  </si>
  <si>
    <t>Kais Bouhachem
Emna Khiari</t>
  </si>
  <si>
    <t>Directeur du site
Directrice des opérations</t>
  </si>
  <si>
    <t>22 000 €</t>
  </si>
  <si>
    <t>Perdu</t>
  </si>
  <si>
    <t>Concurrent moins cher</t>
  </si>
  <si>
    <t>Débriefing fait : Revoir notre grille sur les audits courts.</t>
  </si>
  <si>
    <t>MDC-26-004</t>
  </si>
  <si>
    <t>Athir</t>
  </si>
  <si>
    <t>Formation / Consulting</t>
  </si>
  <si>
    <t>Chokri Dahbi</t>
  </si>
  <si>
    <t>Responsable qualité</t>
  </si>
  <si>
    <t>12 500 €</t>
  </si>
  <si>
    <t>6 250 €</t>
  </si>
  <si>
    <t>Maquette envoyée, attente retour DG.</t>
  </si>
  <si>
    <t>MDC-26-005</t>
  </si>
  <si>
    <t>Amphenol</t>
  </si>
  <si>
    <t>Omar Rjaibi</t>
  </si>
  <si>
    <t>09/04/2026 : Réunion</t>
  </si>
  <si>
    <t>Colonne 1</t>
  </si>
  <si>
    <t xml:space="preserve">Etape de Pipe </t>
  </si>
  <si>
    <t>Qualification</t>
  </si>
  <si>
    <t>Chiffrage / Analyse (Rédaction)</t>
  </si>
  <si>
    <t>Négociation (Ajustement)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</si>
</sst>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&quot;€&quot;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0" fillId="0" fontId="1" numFmtId="9" xfId="0" applyAlignment="1" applyFont="1" applyNumberFormat="1">
      <alignment shrinkToFit="0" vertical="center" wrapText="0"/>
    </xf>
    <xf borderId="0" fillId="0" fontId="2" numFmtId="0" xfId="0" applyFont="1"/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9" xfId="0" applyAlignment="1" applyBorder="1" applyFont="1" applyNumberFormat="1">
      <alignment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Tableau de Suivi des Offres et -style">
      <tableStyleElement dxfId="1" type="headerRow"/>
      <tableStyleElement dxfId="2" type="firstRowStripe"/>
      <tableStyleElement dxfId="3" type="secondRowStripe"/>
    </tableStyle>
    <tableStyle count="3" pivot="0" name="Etapes Pip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Z20" displayName="Table_1" name="Table_1" id="1">
  <tableColumns count="26">
    <tableColumn name="Année" id="1"/>
    <tableColumn name="ID Offre" id="2"/>
    <tableColumn name="Date Saisie" id="3"/>
    <tableColumn name="Prospect / Client" id="4"/>
    <tableColumn name="Domaine d'activité" id="5"/>
    <tableColumn name="Secteur" id="6"/>
    <tableColumn name="Adresse" id="7"/>
    <tableColumn name="Pays" id="8"/>
    <tableColumn name="Objet du Projet" id="9"/>
    <tableColumn name="Nom et Prénom" id="10"/>
    <tableColumn name="Fonction" id="11"/>
    <tableColumn name="Email" id="12"/>
    <tableColumn name="Téléphone" id="13"/>
    <tableColumn name="Historique des intéractions" id="14"/>
    <tableColumn name="Canal d'acquisition (Source)" id="15"/>
    <tableColumn name="Pilote" id="16"/>
    <tableColumn name="Étape du Pipe" id="17"/>
    <tableColumn name="Gagné / Perdu" id="18"/>
    <tableColumn name="Montant Estimé (HT)" id="19"/>
    <tableColumn name="Probabilité" id="20"/>
    <tableColumn name="CA Pondéré (Calculé)" id="21"/>
    <tableColumn name="Date Clôture Prévue" id="22"/>
    <tableColumn name="Statut" id="23"/>
    <tableColumn name="Motif si Perdu / Sans suite" id="24"/>
    <tableColumn name="Plan d'action / Commentaires" id="25"/>
    <tableColumn name="Reclamations" id="26"/>
  </tableColumns>
  <tableStyleInfo name="Tableau de Suivi des Offres et -style" showColumnStripes="0" showFirstColumn="1" showLastColumn="1" showRowStripes="1"/>
</table>
</file>

<file path=xl/tables/table2.xml><?xml version="1.0" encoding="utf-8"?>
<table xmlns="http://schemas.openxmlformats.org/spreadsheetml/2006/main" ref="C4:D9" displayName="Table_2" name="Table_2" id="2">
  <tableColumns count="2">
    <tableColumn name="Colonne 1" id="1"/>
    <tableColumn name="Etape de Pipe " id="2"/>
  </tableColumns>
  <tableStyleInfo name="Etapes Pi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3.75"/>
    <col customWidth="1" min="4" max="8" width="17.88"/>
    <col customWidth="1" min="9" max="9" width="20.38"/>
    <col customWidth="1" min="10" max="10" width="25.0"/>
    <col customWidth="1" min="11" max="12" width="20.38"/>
    <col customWidth="1" min="13" max="13" width="26.13"/>
    <col customWidth="1" min="14" max="14" width="26.75"/>
    <col customWidth="1" min="15" max="15" width="29.5"/>
    <col customWidth="1" min="16" max="16" width="17.63"/>
    <col customWidth="1" min="17" max="18" width="21.0"/>
    <col customWidth="1" min="19" max="19" width="13.5"/>
    <col customWidth="1" min="20" max="20" width="21.25"/>
    <col customWidth="1" min="21" max="21" width="20.13"/>
    <col customWidth="1" min="23" max="23" width="25.13"/>
    <col customWidth="1" min="24" max="24" width="37.63"/>
    <col customWidth="1" min="25" max="25" width="2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3"/>
      <c r="B2" s="3"/>
      <c r="C2" s="4">
        <v>45383.0</v>
      </c>
      <c r="D2" s="3" t="s">
        <v>26</v>
      </c>
      <c r="E2" s="3"/>
      <c r="F2" s="3"/>
      <c r="G2" s="3"/>
      <c r="H2" s="3"/>
      <c r="I2" s="5" t="s">
        <v>27</v>
      </c>
      <c r="J2" s="3"/>
      <c r="K2" s="3"/>
      <c r="L2" s="3"/>
      <c r="M2" s="3"/>
      <c r="N2" s="3"/>
      <c r="O2" s="3"/>
      <c r="P2" s="3"/>
      <c r="Q2" s="3"/>
      <c r="R2" s="3"/>
      <c r="S2" s="3"/>
      <c r="T2" s="6"/>
      <c r="U2" s="3"/>
      <c r="V2" s="4"/>
      <c r="W2" s="3"/>
      <c r="X2" s="3"/>
      <c r="Y2" s="3"/>
      <c r="Z2" s="7"/>
    </row>
    <row r="3" ht="22.5" customHeight="1">
      <c r="A3" s="3"/>
      <c r="B3" s="3"/>
      <c r="C3" s="4">
        <v>45400.0</v>
      </c>
      <c r="D3" s="3" t="s">
        <v>28</v>
      </c>
      <c r="E3" s="3"/>
      <c r="F3" s="3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  <c r="S3" s="3"/>
      <c r="T3" s="6"/>
      <c r="U3" s="3"/>
      <c r="V3" s="4"/>
      <c r="W3" s="3"/>
      <c r="X3" s="3"/>
      <c r="Y3" s="3"/>
      <c r="Z3" s="7"/>
    </row>
    <row r="4" ht="22.5" customHeight="1">
      <c r="A4" s="8"/>
      <c r="B4" s="8"/>
      <c r="C4" s="9">
        <v>45665.0</v>
      </c>
      <c r="D4" s="8" t="s">
        <v>29</v>
      </c>
      <c r="E4" s="8"/>
      <c r="F4" s="8" t="s">
        <v>30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10"/>
      <c r="U4" s="8"/>
      <c r="V4" s="9"/>
      <c r="W4" s="8"/>
      <c r="X4" s="8"/>
      <c r="Y4" s="8"/>
      <c r="Z4" s="8"/>
    </row>
    <row r="5" ht="22.5" customHeight="1">
      <c r="A5" s="8"/>
      <c r="B5" s="8"/>
      <c r="C5" s="9">
        <v>45668.0</v>
      </c>
      <c r="D5" s="8" t="s">
        <v>31</v>
      </c>
      <c r="E5" s="8"/>
      <c r="F5" s="8" t="s">
        <v>32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10"/>
      <c r="U5" s="8"/>
      <c r="V5" s="9"/>
      <c r="W5" s="8"/>
      <c r="X5" s="8"/>
      <c r="Y5" s="8"/>
      <c r="Z5" s="8"/>
    </row>
    <row r="6" ht="22.5" customHeight="1">
      <c r="A6" s="8"/>
      <c r="B6" s="8"/>
      <c r="C6" s="9">
        <v>45665.0</v>
      </c>
      <c r="D6" s="8" t="s">
        <v>33</v>
      </c>
      <c r="E6" s="8"/>
      <c r="F6" s="8" t="s">
        <v>34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0"/>
      <c r="U6" s="8"/>
      <c r="V6" s="9"/>
      <c r="W6" s="8"/>
      <c r="X6" s="8"/>
      <c r="Y6" s="8"/>
      <c r="Z6" s="8"/>
    </row>
    <row r="7" ht="22.5" customHeight="1">
      <c r="A7" s="8"/>
      <c r="B7" s="8"/>
      <c r="C7" s="9">
        <v>45881.0</v>
      </c>
      <c r="D7" s="8" t="s">
        <v>35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0"/>
      <c r="U7" s="8"/>
      <c r="V7" s="9"/>
      <c r="W7" s="8"/>
      <c r="X7" s="8"/>
      <c r="Y7" s="8"/>
      <c r="Z7" s="8"/>
    </row>
    <row r="8" ht="22.5" customHeight="1">
      <c r="A8" s="8"/>
      <c r="B8" s="8"/>
      <c r="C8" s="9">
        <v>46251.0</v>
      </c>
      <c r="D8" s="8" t="s">
        <v>36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0"/>
      <c r="U8" s="8"/>
      <c r="V8" s="9"/>
      <c r="W8" s="8"/>
      <c r="X8" s="8"/>
      <c r="Y8" s="8"/>
      <c r="Z8" s="8"/>
    </row>
    <row r="9" ht="22.5" customHeight="1">
      <c r="A9" s="8"/>
      <c r="B9" s="8"/>
      <c r="C9" s="9">
        <v>46252.0</v>
      </c>
      <c r="D9" s="8" t="s">
        <v>37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0"/>
      <c r="U9" s="8"/>
      <c r="V9" s="9"/>
      <c r="W9" s="8"/>
      <c r="X9" s="8"/>
      <c r="Y9" s="8"/>
      <c r="Z9" s="8"/>
    </row>
    <row r="10" ht="22.5" customHeight="1">
      <c r="A10" s="8"/>
      <c r="B10" s="8"/>
      <c r="C10" s="9">
        <v>45664.0</v>
      </c>
      <c r="D10" s="8" t="s">
        <v>38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10"/>
      <c r="U10" s="8"/>
      <c r="V10" s="9"/>
      <c r="W10" s="8"/>
      <c r="X10" s="8"/>
      <c r="Y10" s="8"/>
      <c r="Z10" s="8"/>
    </row>
    <row r="11" ht="22.5" customHeight="1">
      <c r="A11" s="8"/>
      <c r="B11" s="8"/>
      <c r="C11" s="9">
        <v>45909.0</v>
      </c>
      <c r="D11" s="8" t="s">
        <v>39</v>
      </c>
      <c r="E11" s="8" t="s">
        <v>40</v>
      </c>
      <c r="F11" s="8" t="s">
        <v>34</v>
      </c>
      <c r="G11" s="8"/>
      <c r="H11" s="8"/>
      <c r="I11" s="8"/>
      <c r="J11" s="8" t="s">
        <v>41</v>
      </c>
      <c r="K11" s="8" t="s">
        <v>42</v>
      </c>
      <c r="L11" s="8"/>
      <c r="M11" s="8"/>
      <c r="N11" s="8" t="s">
        <v>43</v>
      </c>
      <c r="O11" s="8"/>
      <c r="P11" s="8"/>
      <c r="Q11" s="8"/>
      <c r="R11" s="8"/>
      <c r="S11" s="8"/>
      <c r="T11" s="10"/>
      <c r="U11" s="8"/>
      <c r="V11" s="9"/>
      <c r="W11" s="8"/>
      <c r="X11" s="8"/>
      <c r="Y11" s="8"/>
      <c r="Z11" s="8"/>
    </row>
    <row r="12" ht="22.5" customHeight="1">
      <c r="A12" s="8"/>
      <c r="B12" s="8"/>
      <c r="C12" s="9">
        <v>45912.0</v>
      </c>
      <c r="D12" s="8" t="s">
        <v>44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0"/>
      <c r="U12" s="8"/>
      <c r="V12" s="9"/>
      <c r="W12" s="8"/>
      <c r="X12" s="8"/>
      <c r="Y12" s="8"/>
      <c r="Z12" s="8"/>
    </row>
    <row r="13" ht="22.5" customHeight="1">
      <c r="A13" s="8"/>
      <c r="B13" s="8"/>
      <c r="C13" s="9"/>
      <c r="D13" s="8" t="s">
        <v>45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0"/>
      <c r="U13" s="8"/>
      <c r="V13" s="9"/>
      <c r="W13" s="8"/>
      <c r="X13" s="8"/>
      <c r="Y13" s="8"/>
      <c r="Z13" s="8"/>
    </row>
    <row r="14" ht="22.5" customHeight="1">
      <c r="A14" s="8"/>
      <c r="B14" s="8"/>
      <c r="C14" s="9"/>
      <c r="D14" s="8" t="s">
        <v>46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0"/>
      <c r="U14" s="8"/>
      <c r="V14" s="9"/>
      <c r="W14" s="8"/>
      <c r="X14" s="8"/>
      <c r="Y14" s="8"/>
      <c r="Z14" s="8"/>
    </row>
    <row r="15" ht="22.5" customHeight="1">
      <c r="A15" s="8">
        <v>2026.0</v>
      </c>
      <c r="B15" s="8" t="s">
        <v>47</v>
      </c>
      <c r="C15" s="9">
        <v>46084.0</v>
      </c>
      <c r="D15" s="8" t="s">
        <v>48</v>
      </c>
      <c r="E15" s="8"/>
      <c r="F15" s="8"/>
      <c r="G15" s="8"/>
      <c r="H15" s="8"/>
      <c r="I15" s="8" t="s">
        <v>49</v>
      </c>
      <c r="J15" s="8" t="s">
        <v>50</v>
      </c>
      <c r="K15" s="8" t="s">
        <v>51</v>
      </c>
      <c r="L15" s="8" t="s">
        <v>52</v>
      </c>
      <c r="M15" s="8"/>
      <c r="N15" s="8" t="s">
        <v>53</v>
      </c>
      <c r="O15" s="8" t="s">
        <v>54</v>
      </c>
      <c r="P15" s="8" t="s">
        <v>55</v>
      </c>
      <c r="Q15" s="8" t="s">
        <v>56</v>
      </c>
      <c r="R15" s="8"/>
      <c r="S15" s="8" t="s">
        <v>57</v>
      </c>
      <c r="T15" s="10">
        <v>0.8</v>
      </c>
      <c r="U15" s="8" t="s">
        <v>58</v>
      </c>
      <c r="V15" s="9">
        <v>46203.0</v>
      </c>
      <c r="W15" s="8" t="s">
        <v>59</v>
      </c>
      <c r="X15" s="8" t="s">
        <v>60</v>
      </c>
      <c r="Y15" s="8" t="s">
        <v>61</v>
      </c>
      <c r="Z15" s="8"/>
    </row>
    <row r="16" ht="22.5" customHeight="1">
      <c r="A16" s="8">
        <v>2026.0</v>
      </c>
      <c r="B16" s="8" t="s">
        <v>62</v>
      </c>
      <c r="C16" s="9">
        <v>46084.0</v>
      </c>
      <c r="D16" s="8" t="s">
        <v>63</v>
      </c>
      <c r="E16" s="8"/>
      <c r="F16" s="8"/>
      <c r="G16" s="8"/>
      <c r="H16" s="8"/>
      <c r="I16" s="8" t="s">
        <v>64</v>
      </c>
      <c r="J16" s="8" t="s">
        <v>65</v>
      </c>
      <c r="K16" s="8" t="s">
        <v>66</v>
      </c>
      <c r="L16" s="8"/>
      <c r="M16" s="8"/>
      <c r="N16" s="8"/>
      <c r="O16" s="8"/>
      <c r="P16" s="8" t="s">
        <v>55</v>
      </c>
      <c r="Q16" s="8" t="s">
        <v>67</v>
      </c>
      <c r="R16" s="8"/>
      <c r="S16" s="8" t="s">
        <v>68</v>
      </c>
      <c r="T16" s="10">
        <v>1.0</v>
      </c>
      <c r="U16" s="8" t="s">
        <v>68</v>
      </c>
      <c r="V16" s="9">
        <v>46188.0</v>
      </c>
      <c r="W16" s="8" t="s">
        <v>69</v>
      </c>
      <c r="X16" s="8" t="s">
        <v>60</v>
      </c>
      <c r="Y16" s="8" t="s">
        <v>70</v>
      </c>
      <c r="Z16" s="8"/>
    </row>
    <row r="17" ht="22.5" customHeight="1">
      <c r="A17" s="8">
        <v>2026.0</v>
      </c>
      <c r="B17" s="8" t="s">
        <v>71</v>
      </c>
      <c r="C17" s="9">
        <v>46085.0</v>
      </c>
      <c r="D17" s="8" t="s">
        <v>72</v>
      </c>
      <c r="E17" s="8"/>
      <c r="F17" s="8"/>
      <c r="G17" s="8"/>
      <c r="H17" s="8"/>
      <c r="I17" s="5" t="s">
        <v>27</v>
      </c>
      <c r="J17" s="8" t="s">
        <v>73</v>
      </c>
      <c r="K17" s="8" t="s">
        <v>74</v>
      </c>
      <c r="L17" s="8"/>
      <c r="M17" s="8"/>
      <c r="N17" s="8"/>
      <c r="O17" s="8"/>
      <c r="P17" s="8" t="s">
        <v>55</v>
      </c>
      <c r="Q17" s="8" t="s">
        <v>67</v>
      </c>
      <c r="R17" s="8"/>
      <c r="S17" s="8" t="s">
        <v>75</v>
      </c>
      <c r="T17" s="10">
        <v>0.0</v>
      </c>
      <c r="U17" s="11">
        <v>0.0</v>
      </c>
      <c r="V17" s="9">
        <v>46183.0</v>
      </c>
      <c r="W17" s="8" t="s">
        <v>76</v>
      </c>
      <c r="X17" s="8" t="s">
        <v>77</v>
      </c>
      <c r="Y17" s="8" t="s">
        <v>78</v>
      </c>
      <c r="Z17" s="8"/>
    </row>
    <row r="18" ht="22.5" customHeight="1">
      <c r="A18" s="8">
        <v>2026.0</v>
      </c>
      <c r="B18" s="8" t="s">
        <v>79</v>
      </c>
      <c r="C18" s="9">
        <v>46087.0</v>
      </c>
      <c r="D18" s="8" t="s">
        <v>80</v>
      </c>
      <c r="E18" s="8"/>
      <c r="F18" s="8"/>
      <c r="G18" s="8"/>
      <c r="H18" s="8"/>
      <c r="I18" s="8" t="s">
        <v>81</v>
      </c>
      <c r="J18" s="8" t="s">
        <v>82</v>
      </c>
      <c r="K18" s="8" t="s">
        <v>83</v>
      </c>
      <c r="L18" s="8"/>
      <c r="M18" s="8"/>
      <c r="N18" s="8"/>
      <c r="O18" s="8"/>
      <c r="P18" s="8" t="s">
        <v>55</v>
      </c>
      <c r="Q18" s="8" t="s">
        <v>67</v>
      </c>
      <c r="R18" s="8"/>
      <c r="S18" s="8" t="s">
        <v>84</v>
      </c>
      <c r="T18" s="10">
        <v>0.5</v>
      </c>
      <c r="U18" s="8" t="s">
        <v>85</v>
      </c>
      <c r="V18" s="9">
        <v>46218.0</v>
      </c>
      <c r="W18" s="8" t="s">
        <v>59</v>
      </c>
      <c r="X18" s="8" t="s">
        <v>60</v>
      </c>
      <c r="Y18" s="8" t="s">
        <v>86</v>
      </c>
      <c r="Z18" s="8"/>
    </row>
    <row r="19" ht="22.5" customHeight="1">
      <c r="A19" s="8">
        <v>2026.0</v>
      </c>
      <c r="B19" s="8" t="s">
        <v>87</v>
      </c>
      <c r="C19" s="9">
        <v>46121.0</v>
      </c>
      <c r="D19" s="8" t="s">
        <v>88</v>
      </c>
      <c r="E19" s="8"/>
      <c r="F19" s="8"/>
      <c r="G19" s="8"/>
      <c r="H19" s="8"/>
      <c r="I19" s="8" t="s">
        <v>64</v>
      </c>
      <c r="J19" s="8" t="s">
        <v>89</v>
      </c>
      <c r="K19" s="8" t="s">
        <v>83</v>
      </c>
      <c r="L19" s="8"/>
      <c r="M19" s="8"/>
      <c r="N19" s="8" t="s">
        <v>90</v>
      </c>
      <c r="O19" s="8"/>
      <c r="P19" s="8" t="s">
        <v>55</v>
      </c>
      <c r="Q19" s="8"/>
      <c r="R19" s="8"/>
      <c r="S19" s="8"/>
      <c r="T19" s="10"/>
      <c r="U19" s="11"/>
      <c r="V19" s="9"/>
      <c r="W19" s="8"/>
      <c r="X19" s="8"/>
      <c r="Y19" s="8"/>
      <c r="Z19" s="8"/>
    </row>
    <row r="20" ht="22.5" customHeight="1">
      <c r="A20" s="8">
        <v>2026.0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Q2:Q20">
      <formula1>"Qualification,Chiffrage / Analyse (Rédaction),Offre Soumise (Attente),Négociation (Ajustement),Clôturé (Fin de cycle)"</formula1>
    </dataValidation>
    <dataValidation type="list" allowBlank="1" sqref="O2:O20">
      <formula1>"Prospection directe,Recommandation,Linkedin"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88"/>
    <col customWidth="1" min="3" max="3" width="12.63"/>
    <col customWidth="1" min="4" max="4" width="30.5"/>
    <col customWidth="1" min="5" max="6" width="12.63"/>
  </cols>
  <sheetData>
    <row r="1" ht="15.75" customHeight="1"/>
    <row r="2" ht="15.75" customHeight="1"/>
    <row r="3" ht="15.75" customHeight="1"/>
    <row r="4" ht="22.5" customHeight="1">
      <c r="C4" s="12" t="s">
        <v>91</v>
      </c>
      <c r="D4" s="12" t="s">
        <v>92</v>
      </c>
    </row>
    <row r="5" ht="22.5" customHeight="1">
      <c r="C5" s="13">
        <v>1.0</v>
      </c>
      <c r="D5" s="13" t="s">
        <v>93</v>
      </c>
    </row>
    <row r="6" ht="22.5" customHeight="1">
      <c r="C6" s="13">
        <v>2.0</v>
      </c>
      <c r="D6" s="13" t="s">
        <v>94</v>
      </c>
    </row>
    <row r="7" ht="22.5" customHeight="1">
      <c r="C7" s="13">
        <v>3.0</v>
      </c>
      <c r="D7" s="13" t="s">
        <v>67</v>
      </c>
    </row>
    <row r="8" ht="22.5" customHeight="1">
      <c r="C8" s="13">
        <v>4.0</v>
      </c>
      <c r="D8" s="13" t="s">
        <v>95</v>
      </c>
    </row>
    <row r="9" ht="22.5" customHeight="1">
      <c r="C9" s="13">
        <v>5.0</v>
      </c>
      <c r="D9" s="13" t="s">
        <v>56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